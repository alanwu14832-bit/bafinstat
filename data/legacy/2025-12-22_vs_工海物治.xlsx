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當日比賽統計" sheetId="1" r:id="rId4"/>
    <sheet state="visible" name="打　擊" sheetId="2" r:id="rId5"/>
    <sheet state="visible" name="投球守備" sheetId="3" r:id="rId6"/>
    <sheet state="visible" name="名詞解釋" sheetId="4" r:id="rId7"/>
  </sheets>
  <definedNames/>
  <calcPr/>
</workbook>
</file>

<file path=xl/sharedStrings.xml><?xml version="1.0" encoding="utf-8"?>
<sst xmlns="http://schemas.openxmlformats.org/spreadsheetml/2006/main" count="809" uniqueCount="178">
  <si>
    <t>結果</t>
  </si>
  <si>
    <t>棒次</t>
  </si>
  <si>
    <t>投手姓名</t>
  </si>
  <si>
    <t>I/II/III代表第一、二、三個出局，L代表殘壘，R為得分，投手部分，ER為自責分，R為非自責分</t>
  </si>
  <si>
    <t>打者姓名</t>
  </si>
  <si>
    <t>逐球</t>
  </si>
  <si>
    <t>好</t>
  </si>
  <si>
    <t>界外</t>
  </si>
  <si>
    <t>壞</t>
  </si>
  <si>
    <t>打擊結果</t>
  </si>
  <si>
    <t>擊球軌跡</t>
  </si>
  <si>
    <t>內容</t>
  </si>
  <si>
    <t>盜壘</t>
  </si>
  <si>
    <t>失誤進壘</t>
  </si>
  <si>
    <t>壘死</t>
  </si>
  <si>
    <t>得分</t>
  </si>
  <si>
    <t>打點</t>
  </si>
  <si>
    <t>備註</t>
  </si>
  <si>
    <t>SS</t>
  </si>
  <si>
    <t>揮棒好球</t>
  </si>
  <si>
    <t>I</t>
  </si>
  <si>
    <t>范立</t>
  </si>
  <si>
    <t>CS</t>
  </si>
  <si>
    <t>B</t>
  </si>
  <si>
    <t>未揮好球</t>
  </si>
  <si>
    <t>F</t>
  </si>
  <si>
    <t>IP</t>
  </si>
  <si>
    <t>In Play</t>
  </si>
  <si>
    <t>壞球</t>
  </si>
  <si>
    <t>界外球</t>
  </si>
  <si>
    <t>勝敗</t>
  </si>
  <si>
    <t>主客</t>
  </si>
  <si>
    <t>內滾</t>
  </si>
  <si>
    <t>隊名</t>
  </si>
  <si>
    <t>.</t>
  </si>
  <si>
    <t>內飛</t>
  </si>
  <si>
    <t>含界外飛球</t>
  </si>
  <si>
    <t>外飛</t>
  </si>
  <si>
    <t>三振</t>
  </si>
  <si>
    <t>含不死三振</t>
  </si>
  <si>
    <t>野選</t>
  </si>
  <si>
    <t>讓壘上跑者出局</t>
  </si>
  <si>
    <t>一安</t>
  </si>
  <si>
    <t>含內野一安</t>
  </si>
  <si>
    <t>二安</t>
  </si>
  <si>
    <t>三安</t>
  </si>
  <si>
    <t>全壘打</t>
  </si>
  <si>
    <t>R</t>
  </si>
  <si>
    <t>含場內全壘打</t>
  </si>
  <si>
    <t>H</t>
  </si>
  <si>
    <t>保送</t>
  </si>
  <si>
    <t>E</t>
  </si>
  <si>
    <t>含敬遠</t>
  </si>
  <si>
    <t>觸身</t>
  </si>
  <si>
    <t>LOB</t>
  </si>
  <si>
    <t>失誤</t>
  </si>
  <si>
    <t>擊球</t>
  </si>
  <si>
    <t>包含位置(1-9)以及滾飛平(G,F,L)</t>
  </si>
  <si>
    <t>日期</t>
  </si>
  <si>
    <t>擊球強度為強、中、或弱</t>
  </si>
  <si>
    <t>登記盜壘次數</t>
  </si>
  <si>
    <t>登記非經由盜壘推進壘包次數</t>
  </si>
  <si>
    <t>登記在壘上出局次數，包含盜壘失敗、進壘時被觸殺等</t>
  </si>
  <si>
    <t>有得分為1</t>
  </si>
  <si>
    <t>場地</t>
  </si>
  <si>
    <t>登記打點數（保送算在內）</t>
  </si>
  <si>
    <t>需要補充說明的場況</t>
  </si>
  <si>
    <t>台大棒球場</t>
  </si>
  <si>
    <t>G</t>
  </si>
  <si>
    <t>強</t>
  </si>
  <si>
    <t>勝</t>
  </si>
  <si>
    <t>主</t>
  </si>
  <si>
    <t>喝FIN就好BA</t>
  </si>
  <si>
    <t>ER</t>
  </si>
  <si>
    <t>林昱丞</t>
  </si>
  <si>
    <t>3一壘</t>
  </si>
  <si>
    <t>弱</t>
  </si>
  <si>
    <t>時間</t>
  </si>
  <si>
    <t>8：30</t>
  </si>
  <si>
    <t>天氣</t>
  </si>
  <si>
    <t>暖</t>
  </si>
  <si>
    <t>L</t>
  </si>
  <si>
    <t>5三壘</t>
  </si>
  <si>
    <t>敗</t>
  </si>
  <si>
    <t>客</t>
  </si>
  <si>
    <t>工海物治</t>
  </si>
  <si>
    <t>7左外</t>
  </si>
  <si>
    <t>II</t>
  </si>
  <si>
    <t>8中外</t>
  </si>
  <si>
    <t>外野助殺</t>
  </si>
  <si>
    <t>中</t>
  </si>
  <si>
    <t>9右外</t>
  </si>
  <si>
    <t>III</t>
  </si>
  <si>
    <t>人數</t>
  </si>
  <si>
    <t>紀錄</t>
  </si>
  <si>
    <t>徐瀅涵</t>
  </si>
  <si>
    <t>ORDER</t>
  </si>
  <si>
    <t>打擊紀錄</t>
  </si>
  <si>
    <t>守位</t>
  </si>
  <si>
    <t>球員</t>
  </si>
  <si>
    <t>打席</t>
  </si>
  <si>
    <t>打數</t>
  </si>
  <si>
    <t>安打</t>
  </si>
  <si>
    <t>犧牲</t>
  </si>
  <si>
    <t>大一</t>
  </si>
  <si>
    <t>大二</t>
  </si>
  <si>
    <t>大三</t>
  </si>
  <si>
    <t>大四</t>
  </si>
  <si>
    <t>王牌</t>
  </si>
  <si>
    <t>4二壘</t>
  </si>
  <si>
    <t>嚴敬翔</t>
  </si>
  <si>
    <t>不死三振</t>
  </si>
  <si>
    <t>林育丞</t>
  </si>
  <si>
    <t>柯福恩</t>
  </si>
  <si>
    <t>方翰儒</t>
  </si>
  <si>
    <t>蔡奇霖</t>
  </si>
  <si>
    <t>許振謙</t>
  </si>
  <si>
    <t>黃紹庭</t>
  </si>
  <si>
    <t>2B</t>
  </si>
  <si>
    <t>梁睿至</t>
  </si>
  <si>
    <t>1投手</t>
  </si>
  <si>
    <t>曾亭維</t>
  </si>
  <si>
    <t>劉哲宏</t>
  </si>
  <si>
    <t>卓育玄</t>
  </si>
  <si>
    <t>李原丞</t>
  </si>
  <si>
    <t>廖冠傑</t>
  </si>
  <si>
    <t>C</t>
  </si>
  <si>
    <t>劉品辰</t>
  </si>
  <si>
    <t>6游擊</t>
  </si>
  <si>
    <t>王廷宇</t>
  </si>
  <si>
    <t>吳藹倫</t>
  </si>
  <si>
    <t>牽制出局</t>
  </si>
  <si>
    <t>林凱堉</t>
  </si>
  <si>
    <t>鄭羣燁</t>
  </si>
  <si>
    <t>杜秉鴻</t>
  </si>
  <si>
    <t>葉柏佑</t>
  </si>
  <si>
    <t>鄭守喆</t>
  </si>
  <si>
    <t>1B</t>
  </si>
  <si>
    <t>蔡侑廷</t>
  </si>
  <si>
    <t>張念詠</t>
  </si>
  <si>
    <t>陳柏承</t>
  </si>
  <si>
    <t>(PR)</t>
  </si>
  <si>
    <t>蘇柏愷</t>
  </si>
  <si>
    <t>盜壘刺</t>
  </si>
  <si>
    <t>陳冠瑋</t>
  </si>
  <si>
    <t>雙殺</t>
  </si>
  <si>
    <t>CF(P)</t>
  </si>
  <si>
    <t>曾鉑棟</t>
  </si>
  <si>
    <t>陳威瑀</t>
  </si>
  <si>
    <t>RF(CF)</t>
  </si>
  <si>
    <t>再見安打</t>
  </si>
  <si>
    <t>吳冠廷</t>
  </si>
  <si>
    <t>邱孟賢</t>
  </si>
  <si>
    <t>LF(3B)</t>
  </si>
  <si>
    <t>3B(RF)</t>
  </si>
  <si>
    <t>DH</t>
  </si>
  <si>
    <t>黃襄璟</t>
  </si>
  <si>
    <t>(PH)DH(CF)(LF)</t>
  </si>
  <si>
    <t>AVG</t>
  </si>
  <si>
    <t>OBP</t>
  </si>
  <si>
    <t>SLG</t>
  </si>
  <si>
    <t>OPS</t>
  </si>
  <si>
    <t>總和</t>
  </si>
  <si>
    <t>投球紀錄</t>
  </si>
  <si>
    <t>任務</t>
  </si>
  <si>
    <t>局數</t>
  </si>
  <si>
    <t>人次</t>
  </si>
  <si>
    <t>用球數</t>
  </si>
  <si>
    <t>好球</t>
  </si>
  <si>
    <t>失分</t>
  </si>
  <si>
    <t>責失</t>
  </si>
  <si>
    <t>ERA</t>
  </si>
  <si>
    <t>WHIP</t>
  </si>
  <si>
    <t>S%</t>
  </si>
  <si>
    <t>SP</t>
  </si>
  <si>
    <t>RP</t>
  </si>
  <si>
    <t>CP</t>
  </si>
  <si>
    <t>劉丞晏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</si>
</sst>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0.000"/>
  </numFmts>
  <fonts count="18">
    <font>
      <sz val="10.0"/>
      <color rgb="FF000000"/>
      <name val="Arial"/>
    </font>
    <font>
      <sz val="12.0"/>
      <name val="Exo"/>
    </font>
    <font>
      <sz val="12.0"/>
      <name val="Verdana"/>
    </font>
    <font>
      <b/>
      <sz val="12.0"/>
      <name val="Verdana"/>
    </font>
    <font>
      <b/>
      <sz val="12.0"/>
      <name val="Exo"/>
    </font>
    <font/>
    <font>
      <sz val="12.0"/>
    </font>
    <font>
      <sz val="12.0"/>
      <color rgb="FF0000FF"/>
      <name val="Exo"/>
    </font>
    <font>
      <sz val="12.0"/>
      <color rgb="FF0000FF"/>
      <name val="Verdana"/>
    </font>
    <font>
      <sz val="12.0"/>
      <color rgb="FF0000FF"/>
    </font>
    <font>
      <sz val="12.0"/>
      <color rgb="FFFF0000"/>
    </font>
    <font>
      <sz val="12.0"/>
      <color rgb="FFFF0000"/>
      <name val="Verdana"/>
    </font>
    <font>
      <sz val="12.0"/>
      <color rgb="FFF1C232"/>
      <name val="Verdana"/>
    </font>
    <font>
      <sz val="12.0"/>
      <color rgb="FFF1C232"/>
    </font>
    <font>
      <sz val="12.0"/>
      <color rgb="FFFF0000"/>
      <name val="Exo"/>
    </font>
    <font>
      <name val="Arial"/>
    </font>
    <font>
      <sz val="12.0"/>
      <name val="Arial"/>
    </font>
    <font>
      <sz val="12.0"/>
      <color rgb="FF000000"/>
      <name val="Exo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vertical="bottom"/>
    </xf>
    <xf borderId="2" fillId="0" fontId="2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vertical="bottom"/>
    </xf>
    <xf borderId="3" fillId="0" fontId="3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bottom"/>
    </xf>
    <xf borderId="4" fillId="0" fontId="5" numFmtId="0" xfId="0" applyBorder="1" applyFont="1"/>
    <xf borderId="5" fillId="0" fontId="5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vertical="center"/>
    </xf>
    <xf borderId="4" fillId="0" fontId="1" numFmtId="0" xfId="0" applyAlignment="1" applyBorder="1" applyFont="1">
      <alignment horizontal="center" vertical="bottom"/>
    </xf>
    <xf borderId="0" fillId="0" fontId="8" numFmtId="49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0"/>
    </xf>
    <xf borderId="4" fillId="2" fontId="4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center" vertical="center"/>
    </xf>
    <xf borderId="4" fillId="2" fontId="4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vertical="center"/>
    </xf>
    <xf borderId="5" fillId="2" fontId="4" numFmtId="0" xfId="0" applyAlignment="1" applyBorder="1" applyFill="1" applyFont="1">
      <alignment horizontal="center" readingOrder="0" vertical="bottom"/>
    </xf>
    <xf borderId="0" fillId="0" fontId="13" numFmtId="0" xfId="0" applyAlignment="1" applyFont="1">
      <alignment horizontal="center" readingOrder="0" vertical="center"/>
    </xf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6" fillId="0" fontId="1" numFmtId="164" xfId="0" applyAlignment="1" applyBorder="1" applyFont="1" applyNumberFormat="1">
      <alignment horizontal="center" readingOrder="0" vertical="bottom"/>
    </xf>
    <xf borderId="7" fillId="0" fontId="5" numFmtId="0" xfId="0" applyBorder="1" applyFont="1"/>
    <xf borderId="5" fillId="0" fontId="1" numFmtId="0" xfId="0" applyAlignment="1" applyBorder="1" applyFont="1">
      <alignment horizontal="center" vertical="bottom"/>
    </xf>
    <xf borderId="0" fillId="0" fontId="8" numFmtId="0" xfId="0" applyAlignment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/>
    </xf>
    <xf borderId="0" fillId="0" fontId="8" numFmtId="0" xfId="0" applyAlignment="1" applyFont="1">
      <alignment horizontal="center" shrinkToFit="0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 shrinkToFit="0" vertical="center" wrapText="0"/>
    </xf>
    <xf borderId="0" fillId="3" fontId="14" numFmtId="0" xfId="0" applyAlignment="1" applyFill="1" applyFont="1">
      <alignment horizontal="center"/>
    </xf>
    <xf borderId="2" fillId="0" fontId="14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readingOrder="0" vertical="bottom"/>
    </xf>
    <xf borderId="11" fillId="0" fontId="1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center" readingOrder="0" vertical="bottom"/>
    </xf>
    <xf borderId="11" fillId="0" fontId="5" numFmtId="0" xfId="0" applyBorder="1" applyFont="1"/>
    <xf borderId="9" fillId="0" fontId="1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/>
    </xf>
    <xf borderId="12" fillId="0" fontId="14" numFmtId="0" xfId="0" applyAlignment="1" applyBorder="1" applyFont="1">
      <alignment horizontal="center" vertical="bottom"/>
    </xf>
    <xf borderId="12" fillId="0" fontId="14" numFmtId="0" xfId="0" applyAlignment="1" applyBorder="1" applyFont="1">
      <alignment horizontal="center" readingOrder="0" vertical="bottom"/>
    </xf>
    <xf borderId="11" fillId="0" fontId="14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readingOrder="0" vertical="bottom"/>
    </xf>
    <xf borderId="3" fillId="0" fontId="4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8" fillId="2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15" numFmtId="0" xfId="0" applyAlignment="1" applyFont="1">
      <alignment vertical="bottom"/>
    </xf>
    <xf borderId="2" fillId="0" fontId="1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2" fillId="0" fontId="14" numFmtId="0" xfId="0" applyAlignment="1" applyBorder="1" applyFont="1">
      <alignment horizontal="center" vertical="bottom"/>
    </xf>
    <xf borderId="0" fillId="0" fontId="1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6" numFmtId="0" xfId="0" applyFont="1"/>
    <xf borderId="0" fillId="0" fontId="6" numFmtId="0" xfId="0" applyAlignment="1" applyFont="1">
      <alignment horizontal="center" readingOrder="0"/>
    </xf>
    <xf borderId="0" fillId="0" fontId="14" numFmtId="0" xfId="0" applyAlignment="1" applyFont="1">
      <alignment horizontal="center" readingOrder="0" vertical="bottom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11" fillId="0" fontId="1" numFmtId="0" xfId="0" applyAlignment="1" applyBorder="1" applyFont="1">
      <alignment horizontal="center" readingOrder="0" shrinkToFit="0" vertical="bottom" wrapText="0"/>
    </xf>
    <xf borderId="0" fillId="0" fontId="14" numFmtId="165" xfId="0" applyAlignment="1" applyFont="1" applyNumberFormat="1">
      <alignment horizontal="center" readingOrder="0" vertical="bottom"/>
    </xf>
    <xf borderId="0" fillId="0" fontId="14" numFmtId="165" xfId="0" applyAlignment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4" fillId="0" fontId="17" numFmtId="0" xfId="0" applyAlignment="1" applyBorder="1" applyFont="1">
      <alignment horizontal="center" vertical="bottom"/>
    </xf>
    <xf borderId="3" fillId="0" fontId="14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0" fillId="0" fontId="14" numFmtId="2" xfId="0" applyAlignment="1" applyFont="1" applyNumberFormat="1">
      <alignment horizontal="center" vertical="bottom"/>
    </xf>
    <xf borderId="9" fillId="0" fontId="4" numFmtId="0" xfId="0" applyAlignment="1" applyBorder="1" applyFont="1">
      <alignment horizontal="center" readingOrder="0" vertical="bottom"/>
    </xf>
    <xf borderId="12" fillId="0" fontId="5" numFmtId="0" xfId="0" applyBorder="1" applyFont="1"/>
    <xf borderId="12" fillId="0" fontId="4" numFmtId="0" xfId="0" applyAlignment="1" applyBorder="1" applyFont="1">
      <alignment horizontal="center" vertical="bottom"/>
    </xf>
    <xf borderId="8" fillId="2" fontId="1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2" fillId="2" fontId="1" numFmtId="0" xfId="0" applyAlignment="1" applyBorder="1" applyFill="1" applyFont="1">
      <alignment horizontal="center" vertical="bottom"/>
    </xf>
    <xf borderId="0" fillId="0" fontId="14" numFmtId="4" xfId="0" applyAlignment="1" applyFont="1" applyNumberFormat="1">
      <alignment horizontal="center" vertical="bottom"/>
    </xf>
    <xf borderId="2" fillId="0" fontId="14" numFmtId="4" xfId="0" applyAlignment="1" applyBorder="1" applyFont="1" applyNumberFormat="1">
      <alignment horizontal="center" shrinkToFit="0" vertical="bottom" wrapText="0"/>
    </xf>
    <xf borderId="0" fillId="0" fontId="14" numFmtId="2" xfId="0" applyAlignment="1" applyFont="1" applyNumberFormat="1">
      <alignment horizontal="center" readingOrder="0" vertical="bottom"/>
    </xf>
    <xf borderId="9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/>
    </xf>
    <xf borderId="12" fillId="0" fontId="17" numFmtId="0" xfId="0" applyAlignment="1" applyBorder="1" applyFont="1">
      <alignment horizontal="center" vertical="bottom"/>
    </xf>
    <xf borderId="4" fillId="0" fontId="17" numFmtId="0" xfId="0" applyAlignment="1" applyBorder="1" applyFont="1">
      <alignment horizontal="center" vertical="bottom"/>
    </xf>
    <xf borderId="3" fillId="0" fontId="14" numFmtId="2" xfId="0" applyAlignment="1" applyBorder="1" applyFont="1" applyNumberFormat="1">
      <alignment horizontal="center" vertical="bottom"/>
    </xf>
    <xf borderId="4" fillId="0" fontId="14" numFmtId="2" xfId="0" applyAlignment="1" applyBorder="1" applyFont="1" applyNumberFormat="1">
      <alignment horizontal="center" vertical="bottom"/>
    </xf>
    <xf borderId="5" fillId="0" fontId="14" numFmtId="165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4"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F1C232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5"/>
    <col customWidth="1" min="3" max="3" width="15.63"/>
    <col customWidth="1" min="4" max="4" width="12.5"/>
    <col customWidth="1" min="5" max="21" width="6.5"/>
    <col customWidth="1" min="22" max="23" width="6.38"/>
    <col customWidth="1" min="24" max="25" width="6.5"/>
  </cols>
  <sheetData>
    <row r="1">
      <c r="A1" s="1"/>
      <c r="B1" s="3"/>
      <c r="C1" s="6"/>
      <c r="D1" s="8"/>
      <c r="E1" s="10"/>
      <c r="F1" s="10"/>
      <c r="G1" s="10"/>
      <c r="H1" s="10"/>
      <c r="I1" s="10"/>
      <c r="J1" s="10"/>
      <c r="K1" s="10"/>
      <c r="L1" s="6"/>
      <c r="M1" s="12"/>
      <c r="N1" s="8"/>
      <c r="O1" s="12"/>
      <c r="P1" s="12"/>
      <c r="Q1" s="10"/>
      <c r="R1" s="6"/>
      <c r="S1" s="17"/>
      <c r="T1" s="17"/>
      <c r="U1" s="6"/>
      <c r="V1" s="19"/>
      <c r="W1" s="19"/>
      <c r="X1" s="10"/>
      <c r="Y1" s="10"/>
    </row>
    <row r="2">
      <c r="A2" s="1"/>
      <c r="B2" s="20" t="s">
        <v>30</v>
      </c>
      <c r="C2" s="21" t="s">
        <v>31</v>
      </c>
      <c r="D2" s="23" t="s">
        <v>33</v>
      </c>
      <c r="E2" s="25">
        <v>1.0</v>
      </c>
      <c r="F2" s="25">
        <v>2.0</v>
      </c>
      <c r="G2" s="25">
        <v>3.0</v>
      </c>
      <c r="H2" s="25">
        <v>4.0</v>
      </c>
      <c r="I2" s="25">
        <v>5.0</v>
      </c>
      <c r="J2" s="25">
        <v>6.0</v>
      </c>
      <c r="K2" s="25">
        <v>7.0</v>
      </c>
      <c r="L2" s="21">
        <v>8.0</v>
      </c>
      <c r="M2" s="29" t="s">
        <v>47</v>
      </c>
      <c r="N2" s="31" t="s">
        <v>49</v>
      </c>
      <c r="O2" s="29" t="s">
        <v>51</v>
      </c>
      <c r="P2" s="34" t="s">
        <v>54</v>
      </c>
      <c r="Q2" s="36"/>
      <c r="R2" s="37" t="s">
        <v>58</v>
      </c>
      <c r="S2" s="38">
        <v>46013.0</v>
      </c>
      <c r="T2" s="39"/>
      <c r="U2" s="40" t="s">
        <v>64</v>
      </c>
      <c r="V2" s="42" t="s">
        <v>67</v>
      </c>
      <c r="W2" s="14"/>
      <c r="X2" s="10"/>
      <c r="Y2" s="10"/>
    </row>
    <row r="3">
      <c r="A3" s="1"/>
      <c r="B3" s="43" t="s">
        <v>70</v>
      </c>
      <c r="C3" s="3" t="s">
        <v>71</v>
      </c>
      <c r="D3" s="3" t="s">
        <v>72</v>
      </c>
      <c r="E3" s="3">
        <v>0.0</v>
      </c>
      <c r="F3" s="3">
        <v>0.0</v>
      </c>
      <c r="G3" s="3">
        <v>4.0</v>
      </c>
      <c r="H3" s="3">
        <v>0.0</v>
      </c>
      <c r="I3" s="3">
        <v>0.0</v>
      </c>
      <c r="J3" s="3">
        <v>0.0</v>
      </c>
      <c r="K3" s="3">
        <v>4.0</v>
      </c>
      <c r="L3" s="3"/>
      <c r="M3" s="47">
        <f>countif('打　擊'!A:A,"R")</f>
        <v>8</v>
      </c>
      <c r="N3" s="47">
        <f>sum(G6:G20)</f>
        <v>11</v>
      </c>
      <c r="O3" s="49">
        <f>countif('投球守備'!P:P,"失誤")</f>
        <v>2</v>
      </c>
      <c r="P3" s="50">
        <f>countif('打　擊'!A:A,"L")</f>
        <v>7</v>
      </c>
      <c r="Q3" s="36"/>
      <c r="R3" s="51" t="s">
        <v>77</v>
      </c>
      <c r="S3" s="52" t="s">
        <v>78</v>
      </c>
      <c r="T3" s="39"/>
      <c r="U3" s="53" t="s">
        <v>79</v>
      </c>
      <c r="V3" s="54" t="s">
        <v>80</v>
      </c>
      <c r="W3" s="55"/>
      <c r="X3" s="10"/>
      <c r="Y3" s="10"/>
    </row>
    <row r="4">
      <c r="A4" s="1"/>
      <c r="B4" s="56" t="s">
        <v>83</v>
      </c>
      <c r="C4" s="54" t="s">
        <v>84</v>
      </c>
      <c r="D4" s="54" t="s">
        <v>85</v>
      </c>
      <c r="E4" s="54">
        <v>1.0</v>
      </c>
      <c r="F4" s="54">
        <v>0.0</v>
      </c>
      <c r="G4" s="54">
        <v>0.0</v>
      </c>
      <c r="H4" s="54">
        <v>0.0</v>
      </c>
      <c r="I4" s="54">
        <v>1.0</v>
      </c>
      <c r="J4" s="54">
        <v>5.0</v>
      </c>
      <c r="K4" s="54">
        <v>0.0</v>
      </c>
      <c r="L4" s="54"/>
      <c r="M4" s="58">
        <f>countif('投球守備'!A:A,"R")+countif('投球守備'!A:A,"ER")</f>
        <v>7</v>
      </c>
      <c r="N4" s="58">
        <f>sum(M25:M31)+sum(N25:N31)</f>
        <v>10</v>
      </c>
      <c r="O4" s="59">
        <f>countif('打　擊'!P:P,"失誤")</f>
        <v>1</v>
      </c>
      <c r="P4" s="60">
        <f>countif('投球守備'!A:A,"L")</f>
        <v>6</v>
      </c>
      <c r="Q4" s="10"/>
      <c r="R4" s="56" t="s">
        <v>93</v>
      </c>
      <c r="S4" s="20">
        <v>18.0</v>
      </c>
      <c r="T4" s="14"/>
      <c r="U4" s="61" t="s">
        <v>94</v>
      </c>
      <c r="V4" s="54" t="s">
        <v>95</v>
      </c>
      <c r="W4" s="55"/>
      <c r="X4" s="10"/>
      <c r="Y4" s="10"/>
    </row>
    <row r="5">
      <c r="A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"/>
      <c r="B6" s="62" t="s">
        <v>96</v>
      </c>
      <c r="C6" s="13"/>
      <c r="D6" s="14"/>
      <c r="E6" s="63" t="s">
        <v>97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64"/>
      <c r="S6" s="3"/>
      <c r="T6" s="3"/>
      <c r="U6" s="3"/>
      <c r="V6" s="3"/>
      <c r="W6" s="6"/>
      <c r="X6" s="10"/>
      <c r="Y6" s="10"/>
    </row>
    <row r="7">
      <c r="A7" s="1"/>
      <c r="B7" s="65" t="s">
        <v>1</v>
      </c>
      <c r="C7" s="66" t="s">
        <v>98</v>
      </c>
      <c r="D7" s="67" t="s">
        <v>99</v>
      </c>
      <c r="E7" s="68" t="s">
        <v>100</v>
      </c>
      <c r="F7" s="68" t="s">
        <v>101</v>
      </c>
      <c r="G7" s="68" t="s">
        <v>102</v>
      </c>
      <c r="H7" s="68" t="s">
        <v>42</v>
      </c>
      <c r="I7" s="68" t="s">
        <v>44</v>
      </c>
      <c r="J7" s="68" t="s">
        <v>45</v>
      </c>
      <c r="K7" s="66" t="s">
        <v>46</v>
      </c>
      <c r="L7" s="66" t="s">
        <v>103</v>
      </c>
      <c r="M7" s="66" t="s">
        <v>50</v>
      </c>
      <c r="N7" s="68" t="s">
        <v>38</v>
      </c>
      <c r="O7" s="68" t="s">
        <v>12</v>
      </c>
      <c r="P7" s="68" t="s">
        <v>15</v>
      </c>
      <c r="Q7" s="67" t="s">
        <v>16</v>
      </c>
      <c r="R7" s="10"/>
      <c r="S7" s="6" t="s">
        <v>104</v>
      </c>
      <c r="T7" s="69" t="s">
        <v>105</v>
      </c>
      <c r="U7" s="69" t="s">
        <v>106</v>
      </c>
      <c r="V7" s="69" t="s">
        <v>107</v>
      </c>
      <c r="W7" s="6" t="s">
        <v>108</v>
      </c>
      <c r="X7" s="70"/>
      <c r="Y7" s="70"/>
    </row>
    <row r="8">
      <c r="A8" s="1"/>
      <c r="B8" s="64">
        <v>1.0</v>
      </c>
      <c r="C8" s="3" t="s">
        <v>18</v>
      </c>
      <c r="D8" s="71" t="s">
        <v>110</v>
      </c>
      <c r="E8" s="47">
        <f>countif('打　擊'!C:C,D8)</f>
        <v>4</v>
      </c>
      <c r="F8" s="72">
        <f t="shared" ref="F8:F21" si="1">E8-M8-L8</f>
        <v>4</v>
      </c>
      <c r="G8" s="72">
        <f t="shared" ref="G8:G21" si="2">H8+I8+J8+K8</f>
        <v>2</v>
      </c>
      <c r="H8" s="72">
        <f>countifs('打　擊'!$C:$C,D8,'打　擊'!$P:$P,H$7)</f>
        <v>2</v>
      </c>
      <c r="I8" s="72">
        <f>countifs('打　擊'!$C:$C,D8,'打　擊'!$P:$P,I$7)</f>
        <v>0</v>
      </c>
      <c r="J8" s="72">
        <f>countifs('打　擊'!$C:$C,D8,'打　擊'!$P:$P,J$7)</f>
        <v>0</v>
      </c>
      <c r="K8" s="72">
        <f>countifs('打　擊'!$C:$C,D8,'打　擊'!$P:$P,K$7)</f>
        <v>0</v>
      </c>
      <c r="L8" s="72">
        <f>countifs('打　擊'!$C:$C,D8,'打　擊'!$P:$P,L$7)</f>
        <v>0</v>
      </c>
      <c r="M8" s="72">
        <f>countifs('打　擊'!$C:$C,D8,'打　擊'!$P:$P,"觸身")+countifs('打　擊'!$C:$C,D8,'打　擊'!$P:$P,"保送")</f>
        <v>0</v>
      </c>
      <c r="N8" s="72">
        <f>countifs('打　擊'!$C:$C,D8,'打　擊'!$P:$P,N$7)</f>
        <v>0</v>
      </c>
      <c r="O8" s="72">
        <f>sumifs('打　擊'!$T:$T,'打　擊'!$C:$C,D8)</f>
        <v>0</v>
      </c>
      <c r="P8" s="72">
        <f>countifs('打　擊'!$C:$C,D8,'打　擊'!$A:$A,"R")</f>
        <v>1</v>
      </c>
      <c r="Q8" s="74">
        <f>sumifs('打　擊'!$X:$X,'打　擊'!$C:$C,D8)</f>
        <v>0</v>
      </c>
      <c r="R8" s="10"/>
      <c r="S8" s="75" t="s">
        <v>112</v>
      </c>
      <c r="T8" s="75" t="s">
        <v>113</v>
      </c>
      <c r="U8" s="69" t="s">
        <v>114</v>
      </c>
      <c r="V8" s="69" t="s">
        <v>116</v>
      </c>
      <c r="W8" s="69" t="s">
        <v>117</v>
      </c>
      <c r="X8" s="76"/>
      <c r="Y8" s="10"/>
    </row>
    <row r="9">
      <c r="A9" s="1"/>
      <c r="B9" s="64">
        <v>2.0</v>
      </c>
      <c r="C9" s="3" t="s">
        <v>118</v>
      </c>
      <c r="D9" s="46" t="s">
        <v>115</v>
      </c>
      <c r="E9" s="47">
        <f>countif('打　擊'!C:C,D9)</f>
        <v>4</v>
      </c>
      <c r="F9" s="72">
        <f t="shared" si="1"/>
        <v>4</v>
      </c>
      <c r="G9" s="72">
        <f t="shared" si="2"/>
        <v>2</v>
      </c>
      <c r="H9" s="72">
        <f>countifs('打　擊'!$C:$C,D9,'打　擊'!$P:$P,H$7)</f>
        <v>2</v>
      </c>
      <c r="I9" s="72">
        <f>countifs('打　擊'!$C:$C,D9,'打　擊'!$P:$P,I$7)</f>
        <v>0</v>
      </c>
      <c r="J9" s="72">
        <f>countifs('打　擊'!$C:$C,D9,'打　擊'!$P:$P,J$7)</f>
        <v>0</v>
      </c>
      <c r="K9" s="72">
        <f>countifs('打　擊'!$C:$C,D9,'打　擊'!$P:$P,K$7)</f>
        <v>0</v>
      </c>
      <c r="L9" s="72">
        <f>countifs('打　擊'!$C:$C,D9,'打　擊'!$P:$P,L$7)</f>
        <v>0</v>
      </c>
      <c r="M9" s="72">
        <f>countifs('打　擊'!$C:$C,D9,'打　擊'!$P:$P,"觸身")+countifs('打　擊'!$C:$C,D9,'打　擊'!$P:$P,"保送")</f>
        <v>0</v>
      </c>
      <c r="N9" s="72">
        <f>countifs('打　擊'!$C:$C,D9,'打　擊'!$P:$P,N$7)</f>
        <v>1</v>
      </c>
      <c r="O9" s="72">
        <f>sumifs('打　擊'!$T:$T,'打　擊'!$C:$C,D9)</f>
        <v>0</v>
      </c>
      <c r="P9" s="72">
        <f>countifs('打　擊'!$C:$C,D9,'打　擊'!$A:$A,"R")</f>
        <v>1</v>
      </c>
      <c r="Q9" s="74">
        <f>sumifs('打　擊'!$X:$X,'打　擊'!$C:$C,D9)</f>
        <v>0</v>
      </c>
      <c r="R9" s="10"/>
      <c r="S9" s="75" t="s">
        <v>123</v>
      </c>
      <c r="T9" s="75" t="s">
        <v>124</v>
      </c>
      <c r="U9" s="69" t="s">
        <v>125</v>
      </c>
      <c r="V9" s="69"/>
      <c r="W9" s="69"/>
      <c r="X9" s="69"/>
      <c r="Y9" s="6"/>
    </row>
    <row r="10">
      <c r="A10" s="1"/>
      <c r="B10" s="64">
        <v>3.0</v>
      </c>
      <c r="C10" s="3" t="s">
        <v>126</v>
      </c>
      <c r="D10" s="46" t="s">
        <v>119</v>
      </c>
      <c r="E10" s="47">
        <f>countif('打　擊'!C:C,D10)</f>
        <v>4</v>
      </c>
      <c r="F10" s="72">
        <f t="shared" si="1"/>
        <v>4</v>
      </c>
      <c r="G10" s="72">
        <f t="shared" si="2"/>
        <v>2</v>
      </c>
      <c r="H10" s="72">
        <f>countifs('打　擊'!$C:$C,D10,'打　擊'!$P:$P,H$7)</f>
        <v>1</v>
      </c>
      <c r="I10" s="72">
        <f>countifs('打　擊'!$C:$C,D10,'打　擊'!$P:$P,I$7)</f>
        <v>1</v>
      </c>
      <c r="J10" s="72">
        <f>countifs('打　擊'!$C:$C,D10,'打　擊'!$P:$P,J$7)</f>
        <v>0</v>
      </c>
      <c r="K10" s="72">
        <f>countifs('打　擊'!$C:$C,D10,'打　擊'!$P:$P,K$7)</f>
        <v>0</v>
      </c>
      <c r="L10" s="72">
        <f>countifs('打　擊'!$C:$C,D10,'打　擊'!$P:$P,L$7)</f>
        <v>0</v>
      </c>
      <c r="M10" s="72">
        <f>countifs('打　擊'!$C:$C,D10,'打　擊'!$P:$P,"觸身")+countifs('打　擊'!$C:$C,D10,'打　擊'!$P:$P,"保送")</f>
        <v>0</v>
      </c>
      <c r="N10" s="72">
        <f>countifs('打　擊'!$C:$C,D10,'打　擊'!$P:$P,N$7)</f>
        <v>2</v>
      </c>
      <c r="O10" s="72">
        <f>sumifs('打　擊'!$T:$T,'打　擊'!$C:$C,D10)</f>
        <v>0</v>
      </c>
      <c r="P10" s="72">
        <f>countifs('打　擊'!$C:$C,D10,'打　擊'!$A:$A,"R")</f>
        <v>2</v>
      </c>
      <c r="Q10" s="74">
        <f>sumifs('打　擊'!$X:$X,'打　擊'!$C:$C,D10)</f>
        <v>1</v>
      </c>
      <c r="R10" s="10"/>
      <c r="S10" s="75" t="s">
        <v>134</v>
      </c>
      <c r="T10" s="75" t="s">
        <v>135</v>
      </c>
      <c r="U10" s="69" t="s">
        <v>136</v>
      </c>
      <c r="V10" s="69"/>
      <c r="W10" s="69"/>
      <c r="X10" s="76"/>
      <c r="Y10" s="70"/>
    </row>
    <row r="11">
      <c r="A11" s="1"/>
      <c r="B11" s="64">
        <v>4.0</v>
      </c>
      <c r="C11" s="3" t="s">
        <v>137</v>
      </c>
      <c r="D11" s="46" t="s">
        <v>116</v>
      </c>
      <c r="E11" s="47">
        <f>countif('打　擊'!C:C,D11)</f>
        <v>4</v>
      </c>
      <c r="F11" s="72">
        <f t="shared" si="1"/>
        <v>3</v>
      </c>
      <c r="G11" s="72">
        <f t="shared" si="2"/>
        <v>1</v>
      </c>
      <c r="H11" s="72">
        <f>countifs('打　擊'!$C:$C,D11,'打　擊'!$P:$P,H$7)</f>
        <v>1</v>
      </c>
      <c r="I11" s="72">
        <f>countifs('打　擊'!$C:$C,D11,'打　擊'!$P:$P,I$7)</f>
        <v>0</v>
      </c>
      <c r="J11" s="72">
        <f>countifs('打　擊'!$C:$C,D11,'打　擊'!$P:$P,J$7)</f>
        <v>0</v>
      </c>
      <c r="K11" s="72">
        <f>countifs('打　擊'!$C:$C,D11,'打　擊'!$P:$P,K$7)</f>
        <v>0</v>
      </c>
      <c r="L11" s="72">
        <f>countifs('打　擊'!$C:$C,D11,'打　擊'!$P:$P,L$7)</f>
        <v>0</v>
      </c>
      <c r="M11" s="72">
        <f>countifs('打　擊'!$C:$C,D11,'打　擊'!$P:$P,"觸身")+countifs('打　擊'!$C:$C,D11,'打　擊'!$P:$P,"保送")</f>
        <v>1</v>
      </c>
      <c r="N11" s="72">
        <f>countifs('打　擊'!$C:$C,D11,'打　擊'!$P:$P,N$7)</f>
        <v>0</v>
      </c>
      <c r="O11" s="72">
        <f>sumifs('打　擊'!$T:$T,'打　擊'!$C:$C,D11)</f>
        <v>0</v>
      </c>
      <c r="P11" s="79">
        <v>0.0</v>
      </c>
      <c r="Q11" s="74">
        <f>sumifs('打　擊'!$X:$X,'打　擊'!$C:$C,D11)</f>
        <v>2</v>
      </c>
      <c r="R11" s="10"/>
      <c r="S11" s="75" t="s">
        <v>138</v>
      </c>
      <c r="T11" s="75" t="s">
        <v>139</v>
      </c>
      <c r="U11" s="69" t="s">
        <v>140</v>
      </c>
      <c r="V11" s="69"/>
      <c r="W11" s="69"/>
      <c r="X11" s="76"/>
      <c r="Y11" s="70"/>
    </row>
    <row r="12">
      <c r="B12" s="43"/>
      <c r="C12" s="3" t="s">
        <v>141</v>
      </c>
      <c r="D12" s="46" t="s">
        <v>142</v>
      </c>
      <c r="E12" s="47">
        <f>countif('打　擊'!C:C,D12)</f>
        <v>0</v>
      </c>
      <c r="F12" s="72">
        <f t="shared" si="1"/>
        <v>0</v>
      </c>
      <c r="G12" s="72">
        <f t="shared" si="2"/>
        <v>0</v>
      </c>
      <c r="H12" s="72">
        <f>countifs('打　擊'!$C:$C,D12,'打　擊'!$P:$P,H$7)</f>
        <v>0</v>
      </c>
      <c r="I12" s="72">
        <f>countifs('打　擊'!$C:$C,D12,'打　擊'!$P:$P,I$7)</f>
        <v>0</v>
      </c>
      <c r="J12" s="72">
        <f>countifs('打　擊'!$C:$C,D12,'打　擊'!$P:$P,J$7)</f>
        <v>0</v>
      </c>
      <c r="K12" s="72">
        <f>countifs('打　擊'!$C:$C,D12,'打　擊'!$P:$P,K$7)</f>
        <v>0</v>
      </c>
      <c r="L12" s="72">
        <f>countifs('打　擊'!$C:$C,D12,'打　擊'!$P:$P,L$7)</f>
        <v>0</v>
      </c>
      <c r="M12" s="72">
        <f>countifs('打　擊'!$C:$C,D12,'打　擊'!$P:$P,"觸身")+countifs('打　擊'!$C:$C,D12,'打　擊'!$P:$P,"保送")</f>
        <v>0</v>
      </c>
      <c r="N12" s="72">
        <f>countifs('打　擊'!$C:$C,D12,'打　擊'!$P:$P,N$7)</f>
        <v>0</v>
      </c>
      <c r="O12" s="72">
        <f>sumifs('打　擊'!$T:$T,'打　擊'!$C:$C,D12)</f>
        <v>0</v>
      </c>
      <c r="P12" s="79">
        <v>1.0</v>
      </c>
      <c r="Q12" s="74">
        <f>sumifs('打　擊'!$X:$X,'打　擊'!$C:$C,D12)</f>
        <v>0</v>
      </c>
      <c r="R12" s="10"/>
      <c r="S12" s="75" t="s">
        <v>144</v>
      </c>
      <c r="T12" s="75" t="s">
        <v>122</v>
      </c>
      <c r="U12" s="69"/>
      <c r="V12" s="69"/>
      <c r="W12" s="69"/>
      <c r="X12" s="70"/>
      <c r="Y12" s="70"/>
    </row>
    <row r="13">
      <c r="A13" s="1"/>
      <c r="B13" s="64">
        <v>5.0</v>
      </c>
      <c r="C13" s="3" t="s">
        <v>146</v>
      </c>
      <c r="D13" s="46" t="s">
        <v>122</v>
      </c>
      <c r="E13" s="47">
        <f>countif('打　擊'!C:C,D13)</f>
        <v>4</v>
      </c>
      <c r="F13" s="72">
        <f t="shared" si="1"/>
        <v>4</v>
      </c>
      <c r="G13" s="72">
        <f t="shared" si="2"/>
        <v>1</v>
      </c>
      <c r="H13" s="72">
        <f>countifs('打　擊'!$C:$C,D13,'打　擊'!$P:$P,H$7)</f>
        <v>1</v>
      </c>
      <c r="I13" s="72">
        <f>countifs('打　擊'!$C:$C,D13,'打　擊'!$P:$P,I$7)</f>
        <v>0</v>
      </c>
      <c r="J13" s="72">
        <f>countifs('打　擊'!$C:$C,D13,'打　擊'!$P:$P,J$7)</f>
        <v>0</v>
      </c>
      <c r="K13" s="72">
        <f>countifs('打　擊'!$C:$C,D13,'打　擊'!$P:$P,K$7)</f>
        <v>0</v>
      </c>
      <c r="L13" s="72">
        <f>countifs('打　擊'!$C:$C,D13,'打　擊'!$P:$P,L$7)</f>
        <v>0</v>
      </c>
      <c r="M13" s="72">
        <f>countifs('打　擊'!$C:$C,D13,'打　擊'!$P:$P,"觸身")+countifs('打　擊'!$C:$C,D13,'打　擊'!$P:$P,"保送")</f>
        <v>0</v>
      </c>
      <c r="N13" s="72">
        <f>countifs('打　擊'!$C:$C,D13,'打　擊'!$P:$P,N$7)</f>
        <v>2</v>
      </c>
      <c r="O13" s="72">
        <f>sumifs('打　擊'!$T:$T,'打　擊'!$C:$C,D13)</f>
        <v>0</v>
      </c>
      <c r="P13" s="72">
        <f>countifs('打　擊'!$C:$C,D13,'打　擊'!$A:$A,"R")</f>
        <v>0</v>
      </c>
      <c r="Q13" s="74">
        <f>sumifs('打　擊'!$X:$X,'打　擊'!$C:$C,D13)</f>
        <v>0</v>
      </c>
      <c r="R13" s="10"/>
      <c r="S13" s="75" t="s">
        <v>147</v>
      </c>
      <c r="T13" s="82" t="s">
        <v>148</v>
      </c>
      <c r="U13" s="83"/>
      <c r="V13" s="69"/>
      <c r="W13" s="69"/>
      <c r="X13" s="70"/>
      <c r="Y13" s="70"/>
    </row>
    <row r="14">
      <c r="A14" s="1"/>
      <c r="B14" s="64">
        <v>6.0</v>
      </c>
      <c r="C14" s="3" t="s">
        <v>149</v>
      </c>
      <c r="D14" s="46" t="s">
        <v>127</v>
      </c>
      <c r="E14" s="47">
        <f>countif('打　擊'!C:C,D14)</f>
        <v>4</v>
      </c>
      <c r="F14" s="72">
        <f t="shared" si="1"/>
        <v>4</v>
      </c>
      <c r="G14" s="72">
        <f t="shared" si="2"/>
        <v>1</v>
      </c>
      <c r="H14" s="72">
        <f>countifs('打　擊'!$C:$C,D14,'打　擊'!$P:$P,H$7)</f>
        <v>0</v>
      </c>
      <c r="I14" s="72">
        <f>countifs('打　擊'!$C:$C,D14,'打　擊'!$P:$P,I$7)</f>
        <v>1</v>
      </c>
      <c r="J14" s="72">
        <f>countifs('打　擊'!$C:$C,D14,'打　擊'!$P:$P,J$7)</f>
        <v>0</v>
      </c>
      <c r="K14" s="72">
        <f>countifs('打　擊'!$C:$C,D14,'打　擊'!$P:$P,K$7)</f>
        <v>0</v>
      </c>
      <c r="L14" s="72">
        <f>countifs('打　擊'!$C:$C,D14,'打　擊'!$P:$P,L$7)</f>
        <v>0</v>
      </c>
      <c r="M14" s="72">
        <f>countifs('打　擊'!$C:$C,D14,'打　擊'!$P:$P,"觸身")+countifs('打　擊'!$C:$C,D14,'打　擊'!$P:$P,"保送")</f>
        <v>0</v>
      </c>
      <c r="N14" s="72">
        <f>countifs('打　擊'!$C:$C,D14,'打　擊'!$P:$P,N$7)</f>
        <v>1</v>
      </c>
      <c r="O14" s="72">
        <f>sumifs('打　擊'!$T:$T,'打　擊'!$C:$C,D14)</f>
        <v>0</v>
      </c>
      <c r="P14" s="72">
        <f>countifs('打　擊'!$C:$C,D14,'打　擊'!$A:$A,"R")</f>
        <v>1</v>
      </c>
      <c r="Q14" s="74">
        <f>sumifs('打　擊'!$X:$X,'打　擊'!$C:$C,D14)</f>
        <v>1</v>
      </c>
      <c r="R14" s="10"/>
      <c r="S14" s="84" t="s">
        <v>151</v>
      </c>
      <c r="T14" s="75" t="s">
        <v>152</v>
      </c>
      <c r="U14" s="83"/>
      <c r="V14" s="69"/>
      <c r="W14" s="69"/>
      <c r="X14" s="70"/>
      <c r="Y14" s="70"/>
    </row>
    <row r="15">
      <c r="A15" s="1"/>
      <c r="B15" s="64">
        <v>7.0</v>
      </c>
      <c r="C15" s="3" t="s">
        <v>153</v>
      </c>
      <c r="D15" s="46" t="s">
        <v>129</v>
      </c>
      <c r="E15" s="47">
        <f>countif('打　擊'!C:C,D15)</f>
        <v>4</v>
      </c>
      <c r="F15" s="72">
        <f t="shared" si="1"/>
        <v>3</v>
      </c>
      <c r="G15" s="72">
        <f t="shared" si="2"/>
        <v>0</v>
      </c>
      <c r="H15" s="72">
        <f>countifs('打　擊'!$C:$C,D15,'打　擊'!$P:$P,H$7)</f>
        <v>0</v>
      </c>
      <c r="I15" s="72">
        <f>countifs('打　擊'!$C:$C,D15,'打　擊'!$P:$P,I$7)</f>
        <v>0</v>
      </c>
      <c r="J15" s="72">
        <f>countifs('打　擊'!$C:$C,D15,'打　擊'!$P:$P,J$7)</f>
        <v>0</v>
      </c>
      <c r="K15" s="72">
        <f>countifs('打　擊'!$C:$C,D15,'打　擊'!$P:$P,K$7)</f>
        <v>0</v>
      </c>
      <c r="L15" s="72">
        <f>countifs('打　擊'!$C:$C,D15,'打　擊'!$P:$P,L$7)</f>
        <v>0</v>
      </c>
      <c r="M15" s="72">
        <f>countifs('打　擊'!$C:$C,D15,'打　擊'!$P:$P,"觸身")+countifs('打　擊'!$C:$C,D15,'打　擊'!$P:$P,"保送")</f>
        <v>1</v>
      </c>
      <c r="N15" s="72">
        <f>countifs('打　擊'!$C:$C,D15,'打　擊'!$P:$P,N$7)</f>
        <v>2</v>
      </c>
      <c r="O15" s="72">
        <f>sumifs('打　擊'!$T:$T,'打　擊'!$C:$C,D15)</f>
        <v>1</v>
      </c>
      <c r="P15" s="72">
        <f>countifs('打　擊'!$C:$C,D15,'打　擊'!$A:$A,"R")</f>
        <v>1</v>
      </c>
      <c r="Q15" s="74">
        <f>sumifs('打　擊'!$X:$X,'打　擊'!$C:$C,D15)</f>
        <v>0</v>
      </c>
      <c r="R15" s="10"/>
      <c r="S15" s="70"/>
      <c r="T15" s="70"/>
      <c r="U15" s="85"/>
      <c r="V15" s="69"/>
      <c r="W15" s="85"/>
      <c r="X15" s="85"/>
      <c r="Y15" s="85"/>
    </row>
    <row r="16">
      <c r="A16" s="1"/>
      <c r="B16" s="64">
        <v>8.0</v>
      </c>
      <c r="C16" s="3" t="s">
        <v>154</v>
      </c>
      <c r="D16" s="46" t="s">
        <v>130</v>
      </c>
      <c r="E16" s="47">
        <f>countif('打　擊'!C:C,D16)</f>
        <v>4</v>
      </c>
      <c r="F16" s="72">
        <f t="shared" si="1"/>
        <v>3</v>
      </c>
      <c r="G16" s="72">
        <f t="shared" si="2"/>
        <v>1</v>
      </c>
      <c r="H16" s="72">
        <f>countifs('打　擊'!$C:$C,D16,'打　擊'!$P:$P,H$7)</f>
        <v>1</v>
      </c>
      <c r="I16" s="72">
        <f>countifs('打　擊'!$C:$C,D16,'打　擊'!$P:$P,I$7)</f>
        <v>0</v>
      </c>
      <c r="J16" s="72">
        <f>countifs('打　擊'!$C:$C,D16,'打　擊'!$P:$P,J$7)</f>
        <v>0</v>
      </c>
      <c r="K16" s="72">
        <f>countifs('打　擊'!$C:$C,D16,'打　擊'!$P:$P,K$7)</f>
        <v>0</v>
      </c>
      <c r="L16" s="72">
        <f>countifs('打　擊'!$C:$C,D16,'打　擊'!$P:$P,L$7)</f>
        <v>0</v>
      </c>
      <c r="M16" s="72">
        <f>countifs('打　擊'!$C:$C,D16,'打　擊'!$P:$P,"觸身")+countifs('打　擊'!$C:$C,D16,'打　擊'!$P:$P,"保送")</f>
        <v>1</v>
      </c>
      <c r="N16" s="72">
        <f>countifs('打　擊'!$C:$C,D16,'打　擊'!$P:$P,N$7)</f>
        <v>1</v>
      </c>
      <c r="O16" s="72">
        <f>sumifs('打　擊'!$T:$T,'打　擊'!$C:$C,D16)</f>
        <v>1</v>
      </c>
      <c r="P16" s="72">
        <f>countifs('打　擊'!$C:$C,D16,'打　擊'!$A:$A,"R")</f>
        <v>1</v>
      </c>
      <c r="Q16" s="74">
        <f>sumifs('打　擊'!$X:$X,'打　擊'!$C:$C,D16)</f>
        <v>1</v>
      </c>
      <c r="R16" s="10"/>
      <c r="S16" s="3"/>
      <c r="T16" s="10"/>
      <c r="U16" s="10"/>
      <c r="V16" s="81"/>
      <c r="W16" s="1"/>
      <c r="X16" s="10"/>
      <c r="Y16" s="10"/>
    </row>
    <row r="17">
      <c r="A17" s="1"/>
      <c r="B17" s="64">
        <v>9.0</v>
      </c>
      <c r="C17" s="3" t="s">
        <v>155</v>
      </c>
      <c r="D17" s="46" t="s">
        <v>156</v>
      </c>
      <c r="E17" s="47">
        <f>countif('打　擊'!C:C,D17)</f>
        <v>1</v>
      </c>
      <c r="F17" s="72">
        <f t="shared" si="1"/>
        <v>1</v>
      </c>
      <c r="G17" s="72">
        <f t="shared" si="2"/>
        <v>0</v>
      </c>
      <c r="H17" s="72">
        <f>countifs('打　擊'!$C:$C,D17,'打　擊'!$P:$P,H$7)</f>
        <v>0</v>
      </c>
      <c r="I17" s="72">
        <f>countifs('打　擊'!$C:$C,D17,'打　擊'!$P:$P,I$7)</f>
        <v>0</v>
      </c>
      <c r="J17" s="72">
        <f>countifs('打　擊'!$C:$C,D17,'打　擊'!$P:$P,J$7)</f>
        <v>0</v>
      </c>
      <c r="K17" s="72">
        <f>countifs('打　擊'!$C:$C,D17,'打　擊'!$P:$P,K$7)</f>
        <v>0</v>
      </c>
      <c r="L17" s="72">
        <f>countifs('打　擊'!$C:$C,D17,'打　擊'!$P:$P,L$7)</f>
        <v>0</v>
      </c>
      <c r="M17" s="72">
        <f>countifs('打　擊'!$C:$C,D17,'打　擊'!$P:$P,"觸身")+countifs('打　擊'!$C:$C,D17,'打　擊'!$P:$P,"保送")</f>
        <v>0</v>
      </c>
      <c r="N17" s="72">
        <f>countifs('打　擊'!$C:$C,D17,'打　擊'!$P:$P,N$7)</f>
        <v>1</v>
      </c>
      <c r="O17" s="72">
        <f>sumifs('打　擊'!$T:$T,'打　擊'!$C:$C,D17)</f>
        <v>0</v>
      </c>
      <c r="P17" s="72">
        <f>countifs('打　擊'!$C:$C,D17,'打　擊'!$A:$A,"R")</f>
        <v>0</v>
      </c>
      <c r="Q17" s="74">
        <f>sumifs('打　擊'!$X:$X,'打　擊'!$C:$C,D17)</f>
        <v>0</v>
      </c>
      <c r="R17" s="10"/>
      <c r="T17" s="10"/>
      <c r="U17" s="10"/>
      <c r="V17" s="81"/>
      <c r="W17" s="1"/>
      <c r="X17" s="10"/>
      <c r="Y17" s="10"/>
    </row>
    <row r="18">
      <c r="A18" s="1"/>
      <c r="B18" s="43"/>
      <c r="C18" s="3" t="s">
        <v>157</v>
      </c>
      <c r="D18" s="46" t="s">
        <v>133</v>
      </c>
      <c r="E18" s="47">
        <f>countif('打　擊'!C:C,D18)</f>
        <v>3</v>
      </c>
      <c r="F18" s="72">
        <f t="shared" si="1"/>
        <v>3</v>
      </c>
      <c r="G18" s="72">
        <f t="shared" si="2"/>
        <v>1</v>
      </c>
      <c r="H18" s="72">
        <f>countifs('打　擊'!$C:$C,D18,'打　擊'!$P:$P,H$7)</f>
        <v>0</v>
      </c>
      <c r="I18" s="72">
        <f>countifs('打　擊'!$C:$C,D18,'打　擊'!$P:$P,I$7)</f>
        <v>0</v>
      </c>
      <c r="J18" s="72">
        <f>countifs('打　擊'!$C:$C,D18,'打　擊'!$P:$P,J$7)</f>
        <v>1</v>
      </c>
      <c r="K18" s="72">
        <f>countifs('打　擊'!$C:$C,D18,'打　擊'!$P:$P,K$7)</f>
        <v>0</v>
      </c>
      <c r="L18" s="72">
        <f>countifs('打　擊'!$C:$C,D18,'打　擊'!$P:$P,L$7)</f>
        <v>0</v>
      </c>
      <c r="M18" s="72">
        <f>countifs('打　擊'!$C:$C,D18,'打　擊'!$P:$P,"觸身")+countifs('打　擊'!$C:$C,D18,'打　擊'!$P:$P,"保送")</f>
        <v>0</v>
      </c>
      <c r="N18" s="72">
        <f>countifs('打　擊'!$C:$C,D18,'打　擊'!$P:$P,N$7)</f>
        <v>2</v>
      </c>
      <c r="O18" s="72">
        <f>sumifs('打　擊'!$T:$T,'打　擊'!$C:$C,D18)</f>
        <v>0</v>
      </c>
      <c r="P18" s="72">
        <f>countifs('打　擊'!$C:$C,D18,'打　擊'!$A:$A,"R")</f>
        <v>0</v>
      </c>
      <c r="Q18" s="74">
        <f>sumifs('打　擊'!$X:$X,'打　擊'!$C:$C,D18)</f>
        <v>3</v>
      </c>
      <c r="R18" s="10"/>
      <c r="S18" s="10"/>
      <c r="T18" s="10"/>
      <c r="U18" s="10"/>
      <c r="V18" s="81"/>
      <c r="W18" s="10"/>
      <c r="X18" s="10"/>
      <c r="Y18" s="10"/>
    </row>
    <row r="19">
      <c r="A19" s="1"/>
      <c r="B19" s="43"/>
      <c r="C19" s="3"/>
      <c r="D19" s="46"/>
      <c r="E19" s="47">
        <f>countif('打　擊'!C:C,D19)</f>
        <v>0</v>
      </c>
      <c r="F19" s="72">
        <f t="shared" si="1"/>
        <v>0</v>
      </c>
      <c r="G19" s="72">
        <f t="shared" si="2"/>
        <v>0</v>
      </c>
      <c r="H19" s="72">
        <f>countifs('打　擊'!$C:$C,D19,'打　擊'!$P:$P,H$7)</f>
        <v>0</v>
      </c>
      <c r="I19" s="72">
        <f>countifs('打　擊'!$C:$C,D19,'打　擊'!$P:$P,I$7)</f>
        <v>0</v>
      </c>
      <c r="J19" s="72">
        <f>countifs('打　擊'!$C:$C,D19,'打　擊'!$P:$P,J$7)</f>
        <v>0</v>
      </c>
      <c r="K19" s="72">
        <f>countifs('打　擊'!$C:$C,D19,'打　擊'!$P:$P,K$7)</f>
        <v>0</v>
      </c>
      <c r="L19" s="72">
        <f>countifs('打　擊'!$C:$C,D19,'打　擊'!$P:$P,L$7)</f>
        <v>0</v>
      </c>
      <c r="M19" s="72">
        <f>countifs('打　擊'!$C:$C,D19,'打　擊'!$P:$P,"觸身")+countifs('打　擊'!$C:$C,D19,'打　擊'!$P:$P,"保送")</f>
        <v>0</v>
      </c>
      <c r="N19" s="72">
        <f>countifs('打　擊'!$C:$C,D19,'打　擊'!$P:$P,N$7)</f>
        <v>0</v>
      </c>
      <c r="O19" s="72">
        <f>sumifs('打　擊'!$T:$T,'打　擊'!$C:$C,D19)</f>
        <v>0</v>
      </c>
      <c r="P19" s="72">
        <f>countifs('打　擊'!$C:$C,D19,'打　擊'!$A:$A,"R")</f>
        <v>0</v>
      </c>
      <c r="Q19" s="74">
        <f>sumifs('打　擊'!$X:$X,'打　擊'!$C:$C,D19)</f>
        <v>0</v>
      </c>
      <c r="R19" s="10"/>
      <c r="S19" s="10"/>
      <c r="T19" s="10"/>
      <c r="U19" s="10"/>
      <c r="V19" s="10"/>
      <c r="W19" s="10"/>
      <c r="X19" s="10"/>
      <c r="Y19" s="10"/>
    </row>
    <row r="20">
      <c r="A20" s="1"/>
      <c r="B20" s="51"/>
      <c r="C20" s="54"/>
      <c r="D20" s="86"/>
      <c r="E20" s="47">
        <f>countif('打　擊'!C:C,D20)</f>
        <v>0</v>
      </c>
      <c r="F20" s="72">
        <f t="shared" si="1"/>
        <v>0</v>
      </c>
      <c r="G20" s="72">
        <f t="shared" si="2"/>
        <v>0</v>
      </c>
      <c r="H20" s="72">
        <f>countifs('打　擊'!$C:$C,D20,'打　擊'!$P:$P,H$7)</f>
        <v>0</v>
      </c>
      <c r="I20" s="72">
        <f>countifs('打　擊'!$C:$C,D20,'打　擊'!$P:$P,I$7)</f>
        <v>0</v>
      </c>
      <c r="J20" s="72">
        <f>countifs('打　擊'!$C:$C,D20,'打　擊'!$P:$P,J$7)</f>
        <v>0</v>
      </c>
      <c r="K20" s="72">
        <f>countifs('打　擊'!$C:$C,D20,'打　擊'!$P:$P,K$7)</f>
        <v>0</v>
      </c>
      <c r="L20" s="72">
        <f>countifs('打　擊'!$C:$C,D20,'打　擊'!$P:$P,L$7)</f>
        <v>0</v>
      </c>
      <c r="M20" s="72">
        <f>countifs('打　擊'!$C:$C,D20,'打　擊'!$P:$P,"觸身")+countifs('打　擊'!$C:$C,D20,'打　擊'!$P:$P,"保送")</f>
        <v>0</v>
      </c>
      <c r="N20" s="72">
        <f>countifs('打　擊'!$C:$C,D20,'打　擊'!$P:$P,N$7)</f>
        <v>0</v>
      </c>
      <c r="O20" s="72">
        <f>sumifs('打　擊'!$T:$T,'打　擊'!$C:$C,D20)</f>
        <v>0</v>
      </c>
      <c r="P20" s="72">
        <f>countifs('打　擊'!$C:$C,D20,'打　擊'!$A:$A,"R")</f>
        <v>0</v>
      </c>
      <c r="Q20" s="74">
        <f>sumifs('打　擊'!$X:$X,'打　擊'!$C:$C,D20)</f>
        <v>0</v>
      </c>
      <c r="R20" s="87" t="s">
        <v>158</v>
      </c>
      <c r="S20" s="87" t="s">
        <v>159</v>
      </c>
      <c r="T20" s="87" t="s">
        <v>160</v>
      </c>
      <c r="U20" s="88" t="s">
        <v>161</v>
      </c>
      <c r="X20" s="10"/>
      <c r="Y20" s="10"/>
    </row>
    <row r="21">
      <c r="A21" s="1"/>
      <c r="B21" s="51"/>
      <c r="C21" s="89"/>
      <c r="D21" s="90" t="s">
        <v>162</v>
      </c>
      <c r="E21" s="91">
        <f>sum(E8:E20)</f>
        <v>36</v>
      </c>
      <c r="F21" s="92">
        <f t="shared" si="1"/>
        <v>33</v>
      </c>
      <c r="G21" s="92">
        <f t="shared" si="2"/>
        <v>11</v>
      </c>
      <c r="H21" s="92">
        <f t="shared" ref="H21:Q21" si="3">sum(H8:H20)</f>
        <v>8</v>
      </c>
      <c r="I21" s="92">
        <f t="shared" si="3"/>
        <v>2</v>
      </c>
      <c r="J21" s="92">
        <f t="shared" si="3"/>
        <v>1</v>
      </c>
      <c r="K21" s="92">
        <f t="shared" si="3"/>
        <v>0</v>
      </c>
      <c r="L21" s="92">
        <f t="shared" si="3"/>
        <v>0</v>
      </c>
      <c r="M21" s="92">
        <f t="shared" si="3"/>
        <v>3</v>
      </c>
      <c r="N21" s="92">
        <f t="shared" si="3"/>
        <v>12</v>
      </c>
      <c r="O21" s="92">
        <f t="shared" si="3"/>
        <v>2</v>
      </c>
      <c r="P21" s="92">
        <f t="shared" si="3"/>
        <v>8</v>
      </c>
      <c r="Q21" s="93">
        <f t="shared" si="3"/>
        <v>8</v>
      </c>
      <c r="R21" s="94">
        <f>iferror(G21/F21,0)</f>
        <v>0.3333333333</v>
      </c>
      <c r="S21" s="94">
        <f>iferror((G21+M21)/(E21-L21),0)</f>
        <v>0.3888888889</v>
      </c>
      <c r="T21" s="94">
        <f>iferror((H21+I21*2+J21*3+K21*4)/F21,0)</f>
        <v>0.4545454545</v>
      </c>
      <c r="U21" s="88">
        <f>S21+T21</f>
        <v>0.8434343434</v>
      </c>
      <c r="X21" s="10"/>
      <c r="Y21" s="10"/>
    </row>
    <row r="22">
      <c r="A22" s="1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10"/>
      <c r="U22" s="10"/>
      <c r="V22" s="10"/>
      <c r="W22" s="10"/>
      <c r="X22" s="10"/>
      <c r="Y22" s="10"/>
    </row>
    <row r="23">
      <c r="A23" s="1"/>
      <c r="B23" s="95" t="s">
        <v>96</v>
      </c>
      <c r="C23" s="96"/>
      <c r="D23" s="55"/>
      <c r="E23" s="97" t="s">
        <v>163</v>
      </c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55"/>
      <c r="T23" s="10"/>
      <c r="U23" s="10"/>
      <c r="V23" s="10"/>
      <c r="W23" s="10"/>
      <c r="X23" s="10"/>
      <c r="Y23" s="10"/>
    </row>
    <row r="24">
      <c r="A24" s="1"/>
      <c r="B24" s="98" t="s">
        <v>30</v>
      </c>
      <c r="C24" s="99" t="s">
        <v>164</v>
      </c>
      <c r="D24" s="100" t="s">
        <v>99</v>
      </c>
      <c r="E24" s="68" t="s">
        <v>165</v>
      </c>
      <c r="F24" s="68" t="s">
        <v>166</v>
      </c>
      <c r="G24" s="68" t="s">
        <v>167</v>
      </c>
      <c r="H24" s="68" t="s">
        <v>168</v>
      </c>
      <c r="I24" s="68" t="s">
        <v>28</v>
      </c>
      <c r="J24" s="66" t="s">
        <v>38</v>
      </c>
      <c r="K24" s="66" t="s">
        <v>50</v>
      </c>
      <c r="L24" s="66" t="s">
        <v>53</v>
      </c>
      <c r="M24" s="66" t="s">
        <v>102</v>
      </c>
      <c r="N24" s="66" t="s">
        <v>46</v>
      </c>
      <c r="O24" s="68" t="s">
        <v>169</v>
      </c>
      <c r="P24" s="66" t="s">
        <v>170</v>
      </c>
      <c r="Q24" s="99" t="s">
        <v>171</v>
      </c>
      <c r="R24" s="99" t="s">
        <v>172</v>
      </c>
      <c r="S24" s="100" t="s">
        <v>173</v>
      </c>
      <c r="T24" s="10"/>
      <c r="V24" s="10"/>
      <c r="W24" s="10"/>
      <c r="X24" s="10"/>
      <c r="Y24" s="10"/>
    </row>
    <row r="25">
      <c r="A25" s="1"/>
      <c r="B25" s="43"/>
      <c r="C25" s="3" t="s">
        <v>174</v>
      </c>
      <c r="D25" s="46" t="s">
        <v>74</v>
      </c>
      <c r="E25" s="94">
        <f>(countifs('投球守備'!$C:$C,$D25,'投球守備'!$A:$A,"I")+countifs('投球守備'!$C:$C,$D25,'投球守備'!$A:$A,"II")+countifs('投球守備'!$C:$C,$D25,'投球守備'!$A:$A,"III"))/3</f>
        <v>4.666666667</v>
      </c>
      <c r="F25" s="47">
        <f>countif('投球守備'!C:C,D25)</f>
        <v>19</v>
      </c>
      <c r="G25" s="72">
        <f t="shared" ref="G25:G31" si="4">H25+I25</f>
        <v>72</v>
      </c>
      <c r="H25" s="47">
        <f>sumifs('投球守備'!$M:$M,'投球守備'!$C:$C,$D25)+sumifs('投球守備'!$N:$N,'投球守備'!$C:$C,$D25)</f>
        <v>44</v>
      </c>
      <c r="I25" s="47">
        <f>sumifs('投球守備'!$O:$O,'投球守備'!$C:$C,$D25)</f>
        <v>28</v>
      </c>
      <c r="J25" s="47">
        <f>countifs('投球守備'!$C:$C,$D25,'投球守備'!$P:$P,J$24)</f>
        <v>4</v>
      </c>
      <c r="K25" s="47">
        <f>countifs('投球守備'!$C:$C,$D25,'投球守備'!$P:$P,K$24)</f>
        <v>2</v>
      </c>
      <c r="L25" s="47">
        <f>countifs('投球守備'!$C:$C,$D25,'投球守備'!$P:$P,L$24)</f>
        <v>0</v>
      </c>
      <c r="M25" s="47">
        <f>countifs('投球守備'!$C:$C,$D25,'投球守備'!$P:$P,"一安")+countifs('投球守備'!$C:$C,$D25,'投球守備'!$P:$P,"二安")+countifs('投球守備'!$C:$C,$D25,'投球守備'!$P:$P,"三安")+countifs('投球守備'!$C:$C,$D25,'投球守備'!$P:$P,"內安")</f>
        <v>4</v>
      </c>
      <c r="N25" s="47">
        <f>countifs('投球守備'!$C:$C,$D25,'投球守備'!$P:$P,N$24)</f>
        <v>0</v>
      </c>
      <c r="O25" s="47">
        <f>countifs('投球守備'!$C:$C,$D25,'投球守備'!A:A,"R")+countifs('投球守備'!$C:$C,$D25,'投球守備'!A:A,"ER")</f>
        <v>2</v>
      </c>
      <c r="P25" s="47">
        <f>countifs('投球守備'!$C:$C,$D25,'投球守備'!A:A,"ER")</f>
        <v>2</v>
      </c>
      <c r="Q25" s="101">
        <f t="shared" ref="Q25:Q31" si="5">iferror(P25/E25*7,0)</f>
        <v>3</v>
      </c>
      <c r="R25" s="101">
        <f t="shared" ref="R25:R31" si="6">IFERROR((K25+L25+M25+N25)/E25,0)</f>
        <v>1.285714286</v>
      </c>
      <c r="S25" s="102">
        <f t="shared" ref="S25:S31" si="7">iferror(H25/G25,0)</f>
        <v>0.6111111111</v>
      </c>
      <c r="T25" s="10"/>
      <c r="U25" s="6" t="s">
        <v>117</v>
      </c>
      <c r="V25" s="10"/>
      <c r="W25" s="10"/>
      <c r="X25" s="10"/>
      <c r="Y25" s="10"/>
    </row>
    <row r="26">
      <c r="A26" s="1"/>
      <c r="B26" s="43"/>
      <c r="C26" s="3" t="s">
        <v>175</v>
      </c>
      <c r="D26" s="46" t="s">
        <v>121</v>
      </c>
      <c r="E26" s="103">
        <v>0.67</v>
      </c>
      <c r="F26" s="47">
        <f>countif('投球守備'!C:C,D26)</f>
        <v>5</v>
      </c>
      <c r="G26" s="72">
        <f t="shared" si="4"/>
        <v>19</v>
      </c>
      <c r="H26" s="47">
        <f>sumifs('投球守備'!$M:$M,'投球守備'!$C:$C,$D26)+sumifs('投球守備'!$N:$N,'投球守備'!$C:$C,$D26)</f>
        <v>8</v>
      </c>
      <c r="I26" s="47">
        <f>sumifs('投球守備'!$O:$O,'投球守備'!$C:$C,$D26)</f>
        <v>11</v>
      </c>
      <c r="J26" s="47">
        <f>countifs('投球守備'!$C:$C,$D26,'投球守備'!$P:$P,J$24)</f>
        <v>1</v>
      </c>
      <c r="K26" s="47">
        <f>countifs('投球守備'!$C:$C,$D26,'投球守備'!$P:$P,K$24)</f>
        <v>1</v>
      </c>
      <c r="L26" s="47">
        <f>countifs('投球守備'!$C:$C,$D26,'投球守備'!$P:$P,L$24)</f>
        <v>0</v>
      </c>
      <c r="M26" s="47">
        <f>countifs('投球守備'!$C:$C,$D26,'投球守備'!$P:$P,"一安")+countifs('投球守備'!$C:$C,$D26,'投球守備'!$P:$P,"二安")+countifs('投球守備'!$C:$C,$D26,'投球守備'!$P:$P,"三安")+countifs('投球守備'!$C:$C,$D26,'投球守備'!$P:$P,"內安")</f>
        <v>1</v>
      </c>
      <c r="N26" s="47">
        <f>countifs('投球守備'!$C:$C,$D26,'投球守備'!$P:$P,N$24)</f>
        <v>0</v>
      </c>
      <c r="O26" s="47">
        <f>countifs('投球守備'!$C:$C,$D26,'投球守備'!A:A,"R")+countifs('投球守備'!$C:$C,$D26,'投球守備'!A:A,"ER")</f>
        <v>0</v>
      </c>
      <c r="P26" s="47">
        <f>countifs('投球守備'!$C:$C,$D26,'投球守備'!A:A,"ER")</f>
        <v>0</v>
      </c>
      <c r="Q26" s="101">
        <f t="shared" si="5"/>
        <v>0</v>
      </c>
      <c r="R26" s="101">
        <f t="shared" si="6"/>
        <v>2.985074627</v>
      </c>
      <c r="S26" s="102">
        <f t="shared" si="7"/>
        <v>0.4210526316</v>
      </c>
      <c r="T26" s="10"/>
      <c r="U26" s="6" t="s">
        <v>136</v>
      </c>
      <c r="V26" s="10"/>
      <c r="W26" s="10"/>
      <c r="X26" s="10"/>
      <c r="Y26" s="10"/>
    </row>
    <row r="27">
      <c r="A27" s="1"/>
      <c r="B27" s="64"/>
      <c r="C27" s="3" t="s">
        <v>175</v>
      </c>
      <c r="D27" s="46" t="s">
        <v>132</v>
      </c>
      <c r="E27" s="94">
        <f>0.33</f>
        <v>0.33</v>
      </c>
      <c r="F27" s="47">
        <f>countif('投球守備'!C:C,D27)</f>
        <v>5</v>
      </c>
      <c r="G27" s="72">
        <f t="shared" si="4"/>
        <v>18</v>
      </c>
      <c r="H27" s="47">
        <f>sumifs('投球守備'!$M:$M,'投球守備'!$C:$C,$D27)+sumifs('投球守備'!$N:$N,'投球守備'!$C:$C,$D27)</f>
        <v>10</v>
      </c>
      <c r="I27" s="47">
        <f>sumifs('投球守備'!$O:$O,'投球守備'!$C:$C,$D27)</f>
        <v>8</v>
      </c>
      <c r="J27" s="47">
        <f>countifs('投球守備'!$C:$C,$D27,'投球守備'!$P:$P,J$24)</f>
        <v>0</v>
      </c>
      <c r="K27" s="47">
        <f>countifs('投球守備'!$C:$C,$D27,'投球守備'!$P:$P,K$24)</f>
        <v>1</v>
      </c>
      <c r="L27" s="47">
        <f>countifs('投球守備'!$C:$C,$D27,'投球守備'!$P:$P,L$24)</f>
        <v>0</v>
      </c>
      <c r="M27" s="47">
        <f>countifs('投球守備'!$C:$C,$D27,'投球守備'!$P:$P,"一安")+countifs('投球守備'!$C:$C,$D27,'投球守備'!$P:$P,"二安")+countifs('投球守備'!$C:$C,$D27,'投球守備'!$P:$P,"三安")+countifs('投球守備'!$C:$C,$D27,'投球守備'!$P:$P,"內安")</f>
        <v>3</v>
      </c>
      <c r="N27" s="47">
        <f>countifs('投球守備'!$C:$C,$D27,'投球守備'!$P:$P,N$24)</f>
        <v>0</v>
      </c>
      <c r="O27" s="47">
        <f>countifs('投球守備'!$C:$C,$D27,'投球守備'!A:A,"R")+countifs('投球守備'!$C:$C,$D27,'投球守備'!A:A,"ER")</f>
        <v>5</v>
      </c>
      <c r="P27" s="47">
        <f>countifs('投球守備'!$C:$C,$D27,'投球守備'!A:A,"ER")</f>
        <v>0</v>
      </c>
      <c r="Q27" s="101">
        <f t="shared" si="5"/>
        <v>0</v>
      </c>
      <c r="R27" s="101">
        <f t="shared" si="6"/>
        <v>12.12121212</v>
      </c>
      <c r="S27" s="102">
        <f t="shared" si="7"/>
        <v>0.5555555556</v>
      </c>
      <c r="T27" s="10"/>
      <c r="U27" s="6" t="s">
        <v>122</v>
      </c>
      <c r="V27" s="10"/>
      <c r="W27" s="10"/>
      <c r="X27" s="10"/>
      <c r="Y27" s="10"/>
    </row>
    <row r="28">
      <c r="A28" s="1"/>
      <c r="B28" s="64"/>
      <c r="C28" s="3" t="s">
        <v>176</v>
      </c>
      <c r="D28" s="71" t="s">
        <v>122</v>
      </c>
      <c r="E28" s="94">
        <f>(countifs('投球守備'!$C:$C,$D28,'投球守備'!$A:$A,"I")+countifs('投球守備'!$C:$C,$D28,'投球守備'!$A:$A,"II")+countifs('投球守備'!$C:$C,$D28,'投球守備'!$A:$A,"III"))/3</f>
        <v>1.333333333</v>
      </c>
      <c r="F28" s="47">
        <f>countif('投球守備'!C:C,D28)</f>
        <v>5</v>
      </c>
      <c r="G28" s="72">
        <f t="shared" si="4"/>
        <v>17</v>
      </c>
      <c r="H28" s="47">
        <f>sumifs('投球守備'!$M:$M,'投球守備'!$C:$C,$D28)+sumifs('投球守備'!$N:$N,'投球守備'!$C:$C,$D28)</f>
        <v>11</v>
      </c>
      <c r="I28" s="47">
        <f>sumifs('投球守備'!$O:$O,'投球守備'!$C:$C,$D28)</f>
        <v>6</v>
      </c>
      <c r="J28" s="47">
        <f>countifs('投球守備'!$C:$C,$D28,'投球守備'!$P:$P,J$24)</f>
        <v>0</v>
      </c>
      <c r="K28" s="47">
        <f>countifs('投球守備'!$C:$C,$D28,'投球守備'!$P:$P,K$24)</f>
        <v>1</v>
      </c>
      <c r="L28" s="47">
        <f>countifs('投球守備'!$C:$C,$D28,'投球守備'!$P:$P,L$24)</f>
        <v>0</v>
      </c>
      <c r="M28" s="47">
        <f>countifs('投球守備'!$C:$C,$D28,'投球守備'!$P:$P,"一安")+countifs('投球守備'!$C:$C,$D28,'投球守備'!$P:$P,"二安")+countifs('投球守備'!$C:$C,$D28,'投球守備'!$P:$P,"三安")</f>
        <v>2</v>
      </c>
      <c r="N28" s="47">
        <f>countifs('投球守備'!$C:$C,$D28,'投球守備'!$P:$P,N$24)</f>
        <v>0</v>
      </c>
      <c r="O28" s="47">
        <f>countifs('投球守備'!$C:$C,$D28,'投球守備'!A:A,"R")+countifs('投球守備'!$C:$C,$D28,'投球守備'!A:A,"ER")</f>
        <v>0</v>
      </c>
      <c r="P28" s="47">
        <f>countifs('投球守備'!$C:$C,$D28,'投球守備'!A:A,"ER")</f>
        <v>0</v>
      </c>
      <c r="Q28" s="101">
        <f t="shared" si="5"/>
        <v>0</v>
      </c>
      <c r="R28" s="101">
        <f t="shared" si="6"/>
        <v>2.25</v>
      </c>
      <c r="S28" s="102">
        <f t="shared" si="7"/>
        <v>0.6470588235</v>
      </c>
      <c r="T28" s="10"/>
      <c r="U28" s="6" t="s">
        <v>177</v>
      </c>
      <c r="V28" s="10"/>
      <c r="W28" s="10"/>
      <c r="X28" s="10"/>
      <c r="Y28" s="10"/>
    </row>
    <row r="29">
      <c r="A29" s="1"/>
      <c r="B29" s="64"/>
      <c r="C29" s="3"/>
      <c r="D29" s="71"/>
      <c r="E29" s="94">
        <f>(countifs('投球守備'!$C:$C,$D29,'投球守備'!$A:$A,"I")+countifs('投球守備'!$C:$C,$D29,'投球守備'!$A:$A,"II")+countifs('投球守備'!$C:$C,$D29,'投球守備'!$A:$A,"III"))/3</f>
        <v>0</v>
      </c>
      <c r="F29" s="47">
        <f>countif('投球守備'!C:C,D29)</f>
        <v>0</v>
      </c>
      <c r="G29" s="72">
        <f t="shared" si="4"/>
        <v>0</v>
      </c>
      <c r="H29" s="47">
        <f>sumifs('投球守備'!$M:$M,'投球守備'!$C:$C,$D29)+sumifs('投球守備'!$N:$N,'投球守備'!$C:$C,$D29)</f>
        <v>0</v>
      </c>
      <c r="I29" s="47">
        <f>sumifs('投球守備'!$O:$O,'投球守備'!$C:$C,$D29)</f>
        <v>0</v>
      </c>
      <c r="J29" s="47">
        <f>countifs('投球守備'!$C:$C,$D29,'投球守備'!$P:$P,J$24)</f>
        <v>0</v>
      </c>
      <c r="K29" s="47">
        <f>countifs('投球守備'!$C:$C,$D29,'投球守備'!$P:$P,K$24)</f>
        <v>0</v>
      </c>
      <c r="L29" s="47">
        <f>countifs('投球守備'!$C:$C,$D29,'投球守備'!$P:$P,L$24)</f>
        <v>0</v>
      </c>
      <c r="M29" s="47">
        <f>countifs('投球守備'!$C:$C,$D29,'投球守備'!$P:$P,"一安")+countifs('投球守備'!$C:$C,$D29,'投球守備'!$P:$P,"二安")+countifs('投球守備'!$C:$C,$D29,'投球守備'!$P:$P,"三安")</f>
        <v>0</v>
      </c>
      <c r="N29" s="47">
        <f>countifs('投球守備'!$C:$C,$D29,'投球守備'!$P:$P,N$24)</f>
        <v>0</v>
      </c>
      <c r="O29" s="47">
        <f>countifs('投球守備'!$C:$C,$D29,'投球守備'!A:A,"R")+countifs('投球守備'!$C:$C,$D29,'投球守備'!A:A,"ER")</f>
        <v>0</v>
      </c>
      <c r="P29" s="47">
        <f>countifs('投球守備'!$C:$C,$D29,'投球守備'!A:A,"ER")</f>
        <v>0</v>
      </c>
      <c r="Q29" s="101">
        <f t="shared" si="5"/>
        <v>0</v>
      </c>
      <c r="R29" s="101">
        <f t="shared" si="6"/>
        <v>0</v>
      </c>
      <c r="S29" s="102">
        <f t="shared" si="7"/>
        <v>0</v>
      </c>
      <c r="T29" s="10"/>
      <c r="U29" s="6" t="s">
        <v>112</v>
      </c>
      <c r="V29" s="10"/>
      <c r="W29" s="10"/>
      <c r="X29" s="10"/>
      <c r="Y29" s="10"/>
    </row>
    <row r="30">
      <c r="A30" s="1"/>
      <c r="B30" s="64"/>
      <c r="C30" s="3"/>
      <c r="D30" s="71"/>
      <c r="E30" s="94">
        <f>(countifs('投球守備'!$C:$C,$D30,'投球守備'!$A:$A,"I")+countifs('投球守備'!$C:$C,$D30,'投球守備'!$A:$A,"II")+countifs('投球守備'!$C:$C,$D30,'投球守備'!$A:$A,"III"))/3</f>
        <v>0</v>
      </c>
      <c r="F30" s="47">
        <f>countif('投球守備'!C:C,D30)</f>
        <v>0</v>
      </c>
      <c r="G30" s="72">
        <f t="shared" si="4"/>
        <v>0</v>
      </c>
      <c r="H30" s="47">
        <f>sumifs('投球守備'!$M:$M,'投球守備'!$C:$C,$D30)+sumifs('投球守備'!$N:$N,'投球守備'!$C:$C,$D30)</f>
        <v>0</v>
      </c>
      <c r="I30" s="47">
        <f>sumifs('投球守備'!$O:$O,'投球守備'!$C:$C,$D30)</f>
        <v>0</v>
      </c>
      <c r="J30" s="47">
        <f>countifs('投球守備'!$C:$C,$D30,'投球守備'!$P:$P,J$24)</f>
        <v>0</v>
      </c>
      <c r="K30" s="47">
        <f>countifs('投球守備'!$C:$C,$D30,'投球守備'!$P:$P,K$24)</f>
        <v>0</v>
      </c>
      <c r="L30" s="47">
        <f>countifs('投球守備'!$C:$C,$D30,'投球守備'!$P:$P,L$24)</f>
        <v>0</v>
      </c>
      <c r="M30" s="47">
        <f>countifs('投球守備'!$C:$C,$D30,'投球守備'!$P:$P,"一安")+countifs('投球守備'!$C:$C,$D30,'投球守備'!$P:$P,"二安")+countifs('投球守備'!$C:$C,$D30,'投球守備'!$P:$P,"三安")</f>
        <v>0</v>
      </c>
      <c r="N30" s="47">
        <f>countifs('投球守備'!$C:$C,$D30,'投球守備'!$P:$P,N$24)</f>
        <v>0</v>
      </c>
      <c r="O30" s="47">
        <f>countifs('投球守備'!$C:$C,$D30,'投球守備'!A:A,"R")+countifs('投球守備'!$C:$C,$D30,'投球守備'!A:A,"ER")</f>
        <v>0</v>
      </c>
      <c r="P30" s="47">
        <f>countifs('投球守備'!$C:$C,$D30,'投球守備'!A:A,"ER")</f>
        <v>0</v>
      </c>
      <c r="Q30" s="101">
        <f t="shared" si="5"/>
        <v>0</v>
      </c>
      <c r="R30" s="101">
        <f t="shared" si="6"/>
        <v>0</v>
      </c>
      <c r="S30" s="102">
        <f t="shared" si="7"/>
        <v>0</v>
      </c>
      <c r="T30" s="10"/>
      <c r="U30" s="6" t="s">
        <v>123</v>
      </c>
      <c r="V30" s="10"/>
      <c r="W30" s="10"/>
      <c r="X30" s="10"/>
      <c r="Y30" s="10"/>
    </row>
    <row r="31">
      <c r="A31" s="1"/>
      <c r="B31" s="104"/>
      <c r="C31" s="54"/>
      <c r="D31" s="61"/>
      <c r="E31" s="94">
        <f>(countifs('投球守備'!$C:$C,$D31,'投球守備'!$A:$A,"I")+countifs('投球守備'!$C:$C,$D31,'投球守備'!$A:$A,"II")+countifs('投球守備'!$C:$C,$D31,'投球守備'!$A:$A,"III"))/3</f>
        <v>0</v>
      </c>
      <c r="F31" s="47">
        <f>countif('投球守備'!C:C,D31)</f>
        <v>0</v>
      </c>
      <c r="G31" s="72">
        <f t="shared" si="4"/>
        <v>0</v>
      </c>
      <c r="H31" s="47">
        <f>sumifs('投球守備'!$M:$M,'投球守備'!$C:$C,$D31)+sumifs('投球守備'!$N:$N,'投球守備'!$C:$C,$D31)</f>
        <v>0</v>
      </c>
      <c r="I31" s="47">
        <f>sumifs('投球守備'!$O:$O,'投球守備'!$C:$C,$D31)</f>
        <v>0</v>
      </c>
      <c r="J31" s="47">
        <f>countifs('投球守備'!$C:$C,$D31,'投球守備'!$P:$P,J$24)</f>
        <v>0</v>
      </c>
      <c r="K31" s="47">
        <f>countifs('投球守備'!$C:$C,$D31,'投球守備'!$P:$P,K$24)</f>
        <v>0</v>
      </c>
      <c r="L31" s="47">
        <f>countifs('投球守備'!$C:$C,$D31,'投球守備'!$P:$P,L$24)</f>
        <v>0</v>
      </c>
      <c r="M31" s="47">
        <f>countifs('投球守備'!$C:$C,$D31,'投球守備'!$P:$P,"一安")+countifs('投球守備'!$C:$C,$D31,'投球守備'!$P:$P,"二安")+countifs('投球守備'!$C:$C,$D31,'投球守備'!$P:$P,"三安")</f>
        <v>0</v>
      </c>
      <c r="N31" s="47">
        <f>countifs('投球守備'!$C:$C,$D31,'投球守備'!$P:$P,N$24)</f>
        <v>0</v>
      </c>
      <c r="O31" s="47">
        <f>countifs('投球守備'!$C:$C,$D31,'投球守備'!A:A,"R")+countifs('投球守備'!$C:$C,$D31,'投球守備'!A:A,"ER")</f>
        <v>0</v>
      </c>
      <c r="P31" s="47">
        <f>countifs('投球守備'!$C:$C,$D31,'投球守備'!A:A,"ER")</f>
        <v>0</v>
      </c>
      <c r="Q31" s="101">
        <f t="shared" si="5"/>
        <v>0</v>
      </c>
      <c r="R31" s="101">
        <f t="shared" si="6"/>
        <v>0</v>
      </c>
      <c r="S31" s="102">
        <f t="shared" si="7"/>
        <v>0</v>
      </c>
      <c r="T31" s="10"/>
      <c r="U31" s="105"/>
      <c r="V31" s="10"/>
      <c r="W31" s="10"/>
      <c r="X31" s="10"/>
      <c r="Y31" s="10"/>
    </row>
    <row r="32">
      <c r="A32" s="1"/>
      <c r="B32" s="104"/>
      <c r="C32" s="106"/>
      <c r="D32" s="107" t="s">
        <v>162</v>
      </c>
      <c r="E32" s="108">
        <f t="shared" ref="E32:P32" si="8">sum(E25:E31)</f>
        <v>7</v>
      </c>
      <c r="F32" s="92">
        <f t="shared" si="8"/>
        <v>34</v>
      </c>
      <c r="G32" s="92">
        <f t="shared" si="8"/>
        <v>126</v>
      </c>
      <c r="H32" s="92">
        <f t="shared" si="8"/>
        <v>73</v>
      </c>
      <c r="I32" s="92">
        <f t="shared" si="8"/>
        <v>53</v>
      </c>
      <c r="J32" s="92">
        <f t="shared" si="8"/>
        <v>5</v>
      </c>
      <c r="K32" s="92">
        <f t="shared" si="8"/>
        <v>5</v>
      </c>
      <c r="L32" s="92">
        <f t="shared" si="8"/>
        <v>0</v>
      </c>
      <c r="M32" s="92">
        <f t="shared" si="8"/>
        <v>10</v>
      </c>
      <c r="N32" s="92">
        <f t="shared" si="8"/>
        <v>0</v>
      </c>
      <c r="O32" s="92">
        <f t="shared" si="8"/>
        <v>7</v>
      </c>
      <c r="P32" s="92">
        <f t="shared" si="8"/>
        <v>2</v>
      </c>
      <c r="Q32" s="109">
        <f>iferror(P32/E32*7,"0.00")</f>
        <v>2</v>
      </c>
      <c r="R32" s="109">
        <f>IFERROR((K32+L32+M32+N32)/E32,"0.00")</f>
        <v>2.142857143</v>
      </c>
      <c r="S32" s="110">
        <f>iferror(H32/G32,"0.00")</f>
        <v>0.5793650794</v>
      </c>
      <c r="T32" s="10"/>
      <c r="U32" s="3"/>
      <c r="V32" s="10"/>
      <c r="W32" s="10"/>
      <c r="X32" s="10"/>
      <c r="Y32" s="10"/>
    </row>
    <row r="33">
      <c r="A33" s="1"/>
      <c r="B33" s="1"/>
      <c r="C33" s="1"/>
      <c r="D33" s="11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0"/>
      <c r="U33" s="3"/>
      <c r="V33" s="1"/>
      <c r="W33" s="1"/>
      <c r="X33" s="1"/>
      <c r="Y33" s="1"/>
    </row>
  </sheetData>
  <mergeCells count="10">
    <mergeCell ref="B6:D6"/>
    <mergeCell ref="B23:D23"/>
    <mergeCell ref="E23:S23"/>
    <mergeCell ref="S2:T2"/>
    <mergeCell ref="V2:W2"/>
    <mergeCell ref="S3:T3"/>
    <mergeCell ref="V3:W3"/>
    <mergeCell ref="S4:T4"/>
    <mergeCell ref="V4:W4"/>
    <mergeCell ref="E6:Q6"/>
  </mergeCells>
  <conditionalFormatting sqref="E8:Q20 D12">
    <cfRule type="cellIs" dxfId="3" priority="1" operator="equal">
      <formula>0</formula>
    </cfRule>
  </conditionalFormatting>
  <conditionalFormatting sqref="E25:S31">
    <cfRule type="cellIs" dxfId="3" priority="2" operator="equal">
      <formula>0</formula>
    </cfRule>
  </conditionalFormatting>
  <dataValidations>
    <dataValidation type="list" allowBlank="1" sqref="C25:C31">
      <formula1>"SP,RP,CP"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2" width="5.5"/>
    <col customWidth="1" min="3" max="3" width="10.25"/>
    <col customWidth="1" min="4" max="15" width="4.38"/>
    <col customWidth="1" min="16" max="16" width="9.0"/>
    <col customWidth="1" min="17" max="17" width="4.25"/>
    <col customWidth="1" min="18" max="18" width="4.5"/>
    <col customWidth="1" min="19" max="20" width="6.13"/>
    <col customWidth="1" min="21" max="21" width="9.0"/>
    <col customWidth="1" min="22" max="24" width="6.13"/>
    <col customWidth="1" min="25" max="25" width="23.75"/>
  </cols>
  <sheetData>
    <row r="1">
      <c r="A1" s="2" t="s">
        <v>0</v>
      </c>
      <c r="B1" s="5" t="s">
        <v>1</v>
      </c>
      <c r="C1" s="2" t="s">
        <v>4</v>
      </c>
      <c r="D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</row>
    <row r="2">
      <c r="A2" s="15"/>
      <c r="B2" s="2">
        <v>1.0</v>
      </c>
      <c r="C2" s="2" t="s">
        <v>21</v>
      </c>
      <c r="D2" s="18" t="s">
        <v>18</v>
      </c>
      <c r="E2" s="18" t="s">
        <v>22</v>
      </c>
      <c r="F2" s="18" t="s">
        <v>26</v>
      </c>
      <c r="G2" s="18" t="s">
        <v>23</v>
      </c>
      <c r="H2" s="18" t="s">
        <v>25</v>
      </c>
      <c r="I2" s="2"/>
      <c r="J2" s="2"/>
      <c r="K2" s="2"/>
      <c r="L2" s="5"/>
      <c r="M2" s="2">
        <f t="shared" ref="M2:M65" si="1">countif(D2:L2,"=S")+countif(D2:L2,"=SS")+countif(D2:L2,"=CS")+countif(D2:L2,"=IP")</f>
        <v>3</v>
      </c>
      <c r="N2" s="2">
        <f t="shared" ref="N2:N65" si="2">countif(D2:L2,"=F")</f>
        <v>1</v>
      </c>
      <c r="O2" s="2">
        <f t="shared" ref="O2:O65" si="3">countif(D2:L2,"=B")</f>
        <v>1</v>
      </c>
      <c r="P2" s="28" t="s">
        <v>42</v>
      </c>
      <c r="Q2" s="2">
        <v>4.0</v>
      </c>
      <c r="R2" s="2" t="s">
        <v>68</v>
      </c>
      <c r="S2" s="2" t="s">
        <v>69</v>
      </c>
      <c r="T2" s="2">
        <v>1.0</v>
      </c>
      <c r="U2" s="2">
        <v>1.0</v>
      </c>
      <c r="V2" s="2">
        <v>0.0</v>
      </c>
      <c r="W2" s="2">
        <v>0.0</v>
      </c>
      <c r="X2" s="2">
        <v>1.0</v>
      </c>
      <c r="Y2" s="2"/>
    </row>
    <row r="3">
      <c r="A3" s="2" t="s">
        <v>20</v>
      </c>
      <c r="B3" s="2">
        <v>1.0</v>
      </c>
      <c r="C3" s="46" t="str">
        <f>'當日比賽統計'!D8</f>
        <v>嚴敬翔</v>
      </c>
      <c r="D3" s="2" t="s">
        <v>23</v>
      </c>
      <c r="E3" s="2" t="s">
        <v>26</v>
      </c>
      <c r="F3" s="2"/>
      <c r="G3" s="2"/>
      <c r="H3" s="2"/>
      <c r="I3" s="2"/>
      <c r="J3" s="2"/>
      <c r="K3" s="2"/>
      <c r="L3" s="2"/>
      <c r="M3" s="28">
        <f t="shared" si="1"/>
        <v>1</v>
      </c>
      <c r="N3" s="28">
        <f t="shared" si="2"/>
        <v>0</v>
      </c>
      <c r="O3" s="28">
        <f t="shared" si="3"/>
        <v>1</v>
      </c>
      <c r="P3" s="48" t="s">
        <v>32</v>
      </c>
      <c r="Q3" s="9" t="s">
        <v>82</v>
      </c>
      <c r="R3" s="9"/>
      <c r="S3" s="2"/>
      <c r="T3" s="2"/>
      <c r="U3" s="2"/>
      <c r="V3" s="2"/>
      <c r="W3" s="2"/>
      <c r="X3" s="2"/>
      <c r="Y3" s="2"/>
    </row>
    <row r="4">
      <c r="A4" s="2" t="s">
        <v>81</v>
      </c>
      <c r="B4" s="2">
        <v>2.0</v>
      </c>
      <c r="C4" s="46" t="str">
        <f>'當日比賽統計'!D9</f>
        <v>蔡奇霖</v>
      </c>
      <c r="D4" s="2" t="s">
        <v>23</v>
      </c>
      <c r="E4" s="2" t="s">
        <v>26</v>
      </c>
      <c r="F4" s="2"/>
      <c r="G4" s="2"/>
      <c r="H4" s="2"/>
      <c r="I4" s="48"/>
      <c r="J4" s="2"/>
      <c r="K4" s="5"/>
      <c r="L4" s="5"/>
      <c r="M4" s="28">
        <f t="shared" si="1"/>
        <v>1</v>
      </c>
      <c r="N4" s="28">
        <f t="shared" si="2"/>
        <v>0</v>
      </c>
      <c r="O4" s="28">
        <f t="shared" si="3"/>
        <v>1</v>
      </c>
      <c r="P4" s="48" t="s">
        <v>55</v>
      </c>
      <c r="Q4" s="9" t="s">
        <v>82</v>
      </c>
      <c r="R4" s="9" t="s">
        <v>68</v>
      </c>
      <c r="S4" s="2" t="s">
        <v>90</v>
      </c>
      <c r="T4" s="2"/>
      <c r="U4" s="2">
        <v>1.0</v>
      </c>
      <c r="V4" s="2"/>
      <c r="W4" s="2"/>
      <c r="X4" s="2"/>
      <c r="Y4" s="57"/>
    </row>
    <row r="5">
      <c r="A5" s="2" t="s">
        <v>87</v>
      </c>
      <c r="B5" s="2">
        <v>3.0</v>
      </c>
      <c r="C5" s="46" t="str">
        <f>'當日比賽統計'!D10</f>
        <v>梁睿至</v>
      </c>
      <c r="D5" s="2" t="s">
        <v>22</v>
      </c>
      <c r="E5" s="2" t="s">
        <v>23</v>
      </c>
      <c r="F5" s="2" t="s">
        <v>25</v>
      </c>
      <c r="G5" s="2" t="s">
        <v>23</v>
      </c>
      <c r="H5" s="2" t="s">
        <v>18</v>
      </c>
      <c r="I5" s="2"/>
      <c r="J5" s="2"/>
      <c r="K5" s="2"/>
      <c r="L5" s="5"/>
      <c r="M5" s="28">
        <f t="shared" si="1"/>
        <v>2</v>
      </c>
      <c r="N5" s="28">
        <f t="shared" si="2"/>
        <v>1</v>
      </c>
      <c r="O5" s="28">
        <f t="shared" si="3"/>
        <v>2</v>
      </c>
      <c r="P5" s="48" t="s">
        <v>38</v>
      </c>
      <c r="Q5" s="9"/>
      <c r="R5" s="9"/>
      <c r="S5" s="2"/>
      <c r="T5" s="2"/>
      <c r="U5" s="2"/>
      <c r="V5" s="2"/>
      <c r="W5" s="2"/>
      <c r="X5" s="2"/>
      <c r="Y5" s="2"/>
    </row>
    <row r="6">
      <c r="A6" s="2" t="s">
        <v>92</v>
      </c>
      <c r="B6" s="2">
        <v>4.0</v>
      </c>
      <c r="C6" s="46" t="str">
        <f>'當日比賽統計'!D11</f>
        <v>許振謙</v>
      </c>
      <c r="D6" s="2" t="s">
        <v>26</v>
      </c>
      <c r="E6" s="2"/>
      <c r="F6" s="2"/>
      <c r="G6" s="2"/>
      <c r="H6" s="2"/>
      <c r="I6" s="2"/>
      <c r="J6" s="2"/>
      <c r="K6" s="2"/>
      <c r="L6" s="2"/>
      <c r="M6" s="28">
        <f t="shared" si="1"/>
        <v>1</v>
      </c>
      <c r="N6" s="28">
        <f t="shared" si="2"/>
        <v>0</v>
      </c>
      <c r="O6" s="28">
        <f t="shared" si="3"/>
        <v>0</v>
      </c>
      <c r="P6" s="48" t="s">
        <v>37</v>
      </c>
      <c r="Q6" s="9" t="s">
        <v>91</v>
      </c>
      <c r="R6" s="9" t="s">
        <v>25</v>
      </c>
      <c r="S6" s="2" t="s">
        <v>90</v>
      </c>
      <c r="T6" s="2"/>
      <c r="U6" s="2"/>
      <c r="V6" s="2"/>
      <c r="W6" s="2"/>
      <c r="X6" s="2"/>
      <c r="Y6" s="2"/>
    </row>
    <row r="7">
      <c r="A7" s="2" t="s">
        <v>20</v>
      </c>
      <c r="B7" s="2">
        <v>5.0</v>
      </c>
      <c r="C7" s="46" t="str">
        <f>'當日比賽統計'!D13</f>
        <v>劉哲宏</v>
      </c>
      <c r="D7" s="2" t="s">
        <v>22</v>
      </c>
      <c r="E7" s="2" t="s">
        <v>23</v>
      </c>
      <c r="F7" s="2" t="s">
        <v>22</v>
      </c>
      <c r="G7" s="2" t="s">
        <v>25</v>
      </c>
      <c r="H7" s="2" t="s">
        <v>23</v>
      </c>
      <c r="I7" s="2" t="s">
        <v>18</v>
      </c>
      <c r="J7" s="2"/>
      <c r="K7" s="5"/>
      <c r="L7" s="5"/>
      <c r="M7" s="28">
        <f t="shared" si="1"/>
        <v>3</v>
      </c>
      <c r="N7" s="28">
        <f t="shared" si="2"/>
        <v>1</v>
      </c>
      <c r="O7" s="28">
        <f t="shared" si="3"/>
        <v>2</v>
      </c>
      <c r="P7" s="48" t="s">
        <v>38</v>
      </c>
      <c r="Q7" s="9"/>
      <c r="R7" s="9"/>
      <c r="S7" s="2"/>
      <c r="T7" s="2"/>
      <c r="U7" s="2"/>
      <c r="V7" s="2"/>
      <c r="W7" s="2"/>
      <c r="X7" s="2"/>
      <c r="Y7" s="2"/>
    </row>
    <row r="8">
      <c r="A8" s="2" t="s">
        <v>87</v>
      </c>
      <c r="B8" s="2">
        <v>6.0</v>
      </c>
      <c r="C8" s="46" t="str">
        <f>'當日比賽統計'!D14</f>
        <v>劉品辰</v>
      </c>
      <c r="D8" s="48" t="s">
        <v>23</v>
      </c>
      <c r="E8" s="48" t="s">
        <v>22</v>
      </c>
      <c r="F8" s="48" t="s">
        <v>22</v>
      </c>
      <c r="G8" s="48" t="s">
        <v>23</v>
      </c>
      <c r="H8" s="2" t="s">
        <v>18</v>
      </c>
      <c r="I8" s="2"/>
      <c r="J8" s="2"/>
      <c r="K8" s="2"/>
      <c r="L8" s="5"/>
      <c r="M8" s="28">
        <f t="shared" si="1"/>
        <v>3</v>
      </c>
      <c r="N8" s="28">
        <f t="shared" si="2"/>
        <v>0</v>
      </c>
      <c r="O8" s="28">
        <f t="shared" si="3"/>
        <v>2</v>
      </c>
      <c r="P8" s="48" t="s">
        <v>38</v>
      </c>
      <c r="Q8" s="9"/>
      <c r="R8" s="9"/>
      <c r="S8" s="2"/>
      <c r="T8" s="2"/>
      <c r="U8" s="2"/>
      <c r="V8" s="2"/>
      <c r="W8" s="2"/>
      <c r="X8" s="2"/>
      <c r="Y8" s="2"/>
    </row>
    <row r="9">
      <c r="A9" s="2" t="s">
        <v>47</v>
      </c>
      <c r="B9" s="2">
        <v>7.0</v>
      </c>
      <c r="C9" s="46" t="str">
        <f>'當日比賽統計'!D15</f>
        <v>王廷宇</v>
      </c>
      <c r="D9" s="48" t="s">
        <v>23</v>
      </c>
      <c r="E9" s="48" t="s">
        <v>23</v>
      </c>
      <c r="F9" s="2" t="s">
        <v>25</v>
      </c>
      <c r="G9" s="2" t="s">
        <v>18</v>
      </c>
      <c r="H9" s="2" t="s">
        <v>18</v>
      </c>
      <c r="I9" s="2"/>
      <c r="J9" s="2"/>
      <c r="K9" s="2"/>
      <c r="L9" s="2"/>
      <c r="M9" s="28">
        <f t="shared" si="1"/>
        <v>2</v>
      </c>
      <c r="N9" s="28">
        <f t="shared" si="2"/>
        <v>1</v>
      </c>
      <c r="O9" s="28">
        <f t="shared" si="3"/>
        <v>2</v>
      </c>
      <c r="P9" s="48" t="s">
        <v>38</v>
      </c>
      <c r="Q9" s="9"/>
      <c r="R9" s="9"/>
      <c r="S9" s="2"/>
      <c r="T9" s="2">
        <v>1.0</v>
      </c>
      <c r="U9" s="2">
        <v>2.0</v>
      </c>
      <c r="V9" s="2"/>
      <c r="W9" s="2">
        <v>1.0</v>
      </c>
      <c r="X9" s="2"/>
      <c r="Y9" s="2" t="s">
        <v>111</v>
      </c>
    </row>
    <row r="10">
      <c r="A10" s="2" t="s">
        <v>81</v>
      </c>
      <c r="B10" s="2">
        <v>8.0</v>
      </c>
      <c r="C10" s="46" t="str">
        <f>'當日比賽統計'!D16</f>
        <v>吳藹倫</v>
      </c>
      <c r="D10" s="48" t="s">
        <v>18</v>
      </c>
      <c r="E10" s="2" t="s">
        <v>23</v>
      </c>
      <c r="F10" s="2" t="s">
        <v>22</v>
      </c>
      <c r="G10" s="2" t="s">
        <v>23</v>
      </c>
      <c r="H10" s="2"/>
      <c r="I10" s="2"/>
      <c r="J10" s="2"/>
      <c r="K10" s="5"/>
      <c r="L10" s="5"/>
      <c r="M10" s="28">
        <f t="shared" si="1"/>
        <v>2</v>
      </c>
      <c r="N10" s="28">
        <f t="shared" si="2"/>
        <v>0</v>
      </c>
      <c r="O10" s="28">
        <f t="shared" si="3"/>
        <v>2</v>
      </c>
      <c r="P10" s="48" t="s">
        <v>42</v>
      </c>
      <c r="Q10" s="9" t="s">
        <v>91</v>
      </c>
      <c r="R10" s="9" t="s">
        <v>68</v>
      </c>
      <c r="S10" s="2" t="s">
        <v>90</v>
      </c>
      <c r="T10" s="2">
        <v>1.0</v>
      </c>
      <c r="U10" s="2"/>
      <c r="V10" s="2"/>
      <c r="W10" s="2"/>
      <c r="X10" s="2">
        <v>1.0</v>
      </c>
      <c r="Y10" s="2"/>
    </row>
    <row r="11">
      <c r="A11" s="2" t="s">
        <v>92</v>
      </c>
      <c r="B11" s="2">
        <v>9.0</v>
      </c>
      <c r="C11" s="46" t="str">
        <f>'當日比賽統計'!D17</f>
        <v>黃襄璟</v>
      </c>
      <c r="D11" s="2" t="s">
        <v>22</v>
      </c>
      <c r="E11" s="48" t="s">
        <v>23</v>
      </c>
      <c r="F11" s="2" t="s">
        <v>25</v>
      </c>
      <c r="G11" s="2" t="s">
        <v>23</v>
      </c>
      <c r="H11" s="2" t="s">
        <v>18</v>
      </c>
      <c r="I11" s="2"/>
      <c r="J11" s="2"/>
      <c r="K11" s="5"/>
      <c r="L11" s="2"/>
      <c r="M11" s="28">
        <f t="shared" si="1"/>
        <v>2</v>
      </c>
      <c r="N11" s="28">
        <f t="shared" si="2"/>
        <v>1</v>
      </c>
      <c r="O11" s="28">
        <f t="shared" si="3"/>
        <v>2</v>
      </c>
      <c r="P11" s="48" t="s">
        <v>38</v>
      </c>
      <c r="Q11" s="9"/>
      <c r="R11" s="9"/>
      <c r="S11" s="2"/>
      <c r="T11" s="2"/>
      <c r="U11" s="2"/>
      <c r="V11" s="2"/>
      <c r="W11" s="2"/>
      <c r="X11" s="2"/>
      <c r="Y11" s="2"/>
    </row>
    <row r="12">
      <c r="A12" s="2" t="s">
        <v>47</v>
      </c>
      <c r="B12" s="2">
        <v>1.0</v>
      </c>
      <c r="C12" s="46" t="s">
        <v>110</v>
      </c>
      <c r="D12" s="2" t="s">
        <v>22</v>
      </c>
      <c r="E12" s="48" t="s">
        <v>26</v>
      </c>
      <c r="F12" s="2"/>
      <c r="G12" s="2"/>
      <c r="H12" s="2"/>
      <c r="I12" s="2"/>
      <c r="J12" s="2"/>
      <c r="K12" s="5"/>
      <c r="L12" s="5"/>
      <c r="M12" s="28">
        <f t="shared" si="1"/>
        <v>2</v>
      </c>
      <c r="N12" s="28">
        <f t="shared" si="2"/>
        <v>0</v>
      </c>
      <c r="O12" s="28">
        <f t="shared" si="3"/>
        <v>0</v>
      </c>
      <c r="P12" s="48" t="s">
        <v>42</v>
      </c>
      <c r="Q12" s="9" t="s">
        <v>86</v>
      </c>
      <c r="R12" s="9" t="s">
        <v>68</v>
      </c>
      <c r="S12" s="2" t="s">
        <v>69</v>
      </c>
      <c r="T12" s="2"/>
      <c r="U12" s="2">
        <v>1.0</v>
      </c>
      <c r="V12" s="2"/>
      <c r="W12" s="2">
        <v>1.0</v>
      </c>
      <c r="X12" s="2"/>
      <c r="Y12" s="2"/>
    </row>
    <row r="13">
      <c r="A13" s="2" t="s">
        <v>47</v>
      </c>
      <c r="B13" s="2">
        <v>2.0</v>
      </c>
      <c r="C13" s="46" t="s">
        <v>115</v>
      </c>
      <c r="D13" s="2" t="s">
        <v>22</v>
      </c>
      <c r="E13" s="2" t="s">
        <v>26</v>
      </c>
      <c r="F13" s="2"/>
      <c r="G13" s="2"/>
      <c r="H13" s="2"/>
      <c r="I13" s="2"/>
      <c r="J13" s="2"/>
      <c r="K13" s="2"/>
      <c r="L13" s="2"/>
      <c r="M13" s="28">
        <f t="shared" si="1"/>
        <v>2</v>
      </c>
      <c r="N13" s="28">
        <f t="shared" si="2"/>
        <v>0</v>
      </c>
      <c r="O13" s="28">
        <f t="shared" si="3"/>
        <v>0</v>
      </c>
      <c r="P13" s="48" t="s">
        <v>42</v>
      </c>
      <c r="Q13" s="9" t="s">
        <v>91</v>
      </c>
      <c r="R13" s="9" t="s">
        <v>68</v>
      </c>
      <c r="S13" s="2" t="s">
        <v>69</v>
      </c>
      <c r="T13" s="2"/>
      <c r="U13" s="2"/>
      <c r="V13" s="2"/>
      <c r="W13" s="2">
        <v>1.0</v>
      </c>
      <c r="X13" s="2"/>
      <c r="Y13" s="2"/>
    </row>
    <row r="14">
      <c r="A14" s="2" t="s">
        <v>47</v>
      </c>
      <c r="B14" s="2">
        <v>3.0</v>
      </c>
      <c r="C14" s="46" t="s">
        <v>119</v>
      </c>
      <c r="D14" s="2" t="s">
        <v>18</v>
      </c>
      <c r="E14" s="48" t="s">
        <v>26</v>
      </c>
      <c r="F14" s="2"/>
      <c r="G14" s="2"/>
      <c r="H14" s="2"/>
      <c r="I14" s="2"/>
      <c r="J14" s="2"/>
      <c r="K14" s="2"/>
      <c r="L14" s="5"/>
      <c r="M14" s="28">
        <f t="shared" si="1"/>
        <v>2</v>
      </c>
      <c r="N14" s="28">
        <f t="shared" si="2"/>
        <v>0</v>
      </c>
      <c r="O14" s="28">
        <f t="shared" si="3"/>
        <v>0</v>
      </c>
      <c r="P14" s="48" t="s">
        <v>44</v>
      </c>
      <c r="Q14" s="9" t="s">
        <v>86</v>
      </c>
      <c r="R14" s="9" t="s">
        <v>81</v>
      </c>
      <c r="S14" s="2" t="s">
        <v>90</v>
      </c>
      <c r="T14" s="2"/>
      <c r="U14" s="2"/>
      <c r="V14" s="2"/>
      <c r="W14" s="2">
        <v>1.0</v>
      </c>
      <c r="X14" s="2">
        <v>1.0</v>
      </c>
      <c r="Y14" s="2"/>
    </row>
    <row r="15">
      <c r="A15" s="2" t="s">
        <v>81</v>
      </c>
      <c r="B15" s="2">
        <v>4.0</v>
      </c>
      <c r="C15" s="46" t="s">
        <v>116</v>
      </c>
      <c r="D15" s="2" t="s">
        <v>18</v>
      </c>
      <c r="E15" s="2" t="s">
        <v>26</v>
      </c>
      <c r="F15" s="2"/>
      <c r="G15" s="2"/>
      <c r="H15" s="2"/>
      <c r="I15" s="2"/>
      <c r="J15" s="5"/>
      <c r="K15" s="5"/>
      <c r="L15" s="5"/>
      <c r="M15" s="28">
        <f t="shared" si="1"/>
        <v>2</v>
      </c>
      <c r="N15" s="28">
        <f t="shared" si="2"/>
        <v>0</v>
      </c>
      <c r="O15" s="28">
        <f t="shared" si="3"/>
        <v>0</v>
      </c>
      <c r="P15" s="48" t="s">
        <v>42</v>
      </c>
      <c r="Q15" s="9" t="s">
        <v>91</v>
      </c>
      <c r="R15" s="9" t="s">
        <v>68</v>
      </c>
      <c r="S15" s="2" t="s">
        <v>69</v>
      </c>
      <c r="T15" s="2"/>
      <c r="U15" s="2">
        <v>1.0</v>
      </c>
      <c r="V15" s="2"/>
      <c r="W15" s="2"/>
      <c r="X15" s="2">
        <v>2.0</v>
      </c>
      <c r="Y15" s="2"/>
    </row>
    <row r="16">
      <c r="A16" s="2" t="s">
        <v>20</v>
      </c>
      <c r="B16" s="2">
        <v>5.0</v>
      </c>
      <c r="C16" s="46" t="s">
        <v>122</v>
      </c>
      <c r="D16" s="48" t="s">
        <v>26</v>
      </c>
      <c r="E16" s="48"/>
      <c r="F16" s="48"/>
      <c r="G16" s="48"/>
      <c r="H16" s="73"/>
      <c r="I16" s="2"/>
      <c r="J16" s="2"/>
      <c r="K16" s="5"/>
      <c r="L16" s="5"/>
      <c r="M16" s="28">
        <f t="shared" si="1"/>
        <v>1</v>
      </c>
      <c r="N16" s="28">
        <f t="shared" si="2"/>
        <v>0</v>
      </c>
      <c r="O16" s="28">
        <f t="shared" si="3"/>
        <v>0</v>
      </c>
      <c r="P16" s="48" t="s">
        <v>32</v>
      </c>
      <c r="Q16" s="9" t="s">
        <v>120</v>
      </c>
      <c r="R16" s="9" t="s">
        <v>68</v>
      </c>
      <c r="S16" s="2" t="s">
        <v>90</v>
      </c>
      <c r="T16" s="5"/>
      <c r="U16" s="5"/>
      <c r="V16" s="5"/>
      <c r="W16" s="48"/>
      <c r="X16" s="2"/>
      <c r="Y16" s="2"/>
    </row>
    <row r="17">
      <c r="A17" s="2" t="s">
        <v>87</v>
      </c>
      <c r="B17" s="2">
        <v>6.0</v>
      </c>
      <c r="C17" s="46" t="s">
        <v>127</v>
      </c>
      <c r="D17" s="48" t="s">
        <v>23</v>
      </c>
      <c r="E17" s="48" t="s">
        <v>26</v>
      </c>
      <c r="F17" s="48"/>
      <c r="G17" s="48"/>
      <c r="H17" s="48"/>
      <c r="I17" s="2"/>
      <c r="J17" s="2"/>
      <c r="K17" s="5"/>
      <c r="L17" s="5"/>
      <c r="M17" s="28">
        <f t="shared" si="1"/>
        <v>1</v>
      </c>
      <c r="N17" s="28">
        <f t="shared" si="2"/>
        <v>0</v>
      </c>
      <c r="O17" s="28">
        <f t="shared" si="3"/>
        <v>1</v>
      </c>
      <c r="P17" s="48" t="s">
        <v>35</v>
      </c>
      <c r="Q17" s="9" t="s">
        <v>75</v>
      </c>
      <c r="R17" s="9" t="s">
        <v>25</v>
      </c>
      <c r="S17" s="2" t="s">
        <v>90</v>
      </c>
      <c r="T17" s="2"/>
      <c r="U17" s="2"/>
      <c r="V17" s="2"/>
      <c r="W17" s="2"/>
      <c r="X17" s="2"/>
      <c r="Y17" s="2"/>
    </row>
    <row r="18">
      <c r="A18" s="2" t="s">
        <v>81</v>
      </c>
      <c r="B18" s="2">
        <v>7.0</v>
      </c>
      <c r="C18" s="46" t="s">
        <v>129</v>
      </c>
      <c r="D18" s="2" t="s">
        <v>22</v>
      </c>
      <c r="E18" s="2" t="s">
        <v>23</v>
      </c>
      <c r="F18" s="2"/>
      <c r="G18" s="2"/>
      <c r="H18" s="2"/>
      <c r="I18" s="2"/>
      <c r="J18" s="77"/>
      <c r="K18" s="5"/>
      <c r="L18" s="5"/>
      <c r="M18" s="28">
        <f t="shared" si="1"/>
        <v>1</v>
      </c>
      <c r="N18" s="28">
        <f t="shared" si="2"/>
        <v>0</v>
      </c>
      <c r="O18" s="28">
        <f t="shared" si="3"/>
        <v>1</v>
      </c>
      <c r="P18" s="48" t="s">
        <v>53</v>
      </c>
      <c r="Q18" s="9"/>
      <c r="R18" s="9"/>
      <c r="S18" s="2"/>
      <c r="T18" s="2"/>
      <c r="U18" s="2"/>
      <c r="V18" s="2"/>
      <c r="W18" s="2"/>
      <c r="X18" s="2"/>
      <c r="Y18" s="2"/>
    </row>
    <row r="19">
      <c r="A19" s="2" t="s">
        <v>92</v>
      </c>
      <c r="B19" s="2">
        <v>8.0</v>
      </c>
      <c r="C19" s="46" t="s">
        <v>130</v>
      </c>
      <c r="D19" s="2" t="s">
        <v>22</v>
      </c>
      <c r="E19" s="48" t="s">
        <v>23</v>
      </c>
      <c r="F19" s="2"/>
      <c r="G19" s="2"/>
      <c r="H19" s="2"/>
      <c r="I19" s="2"/>
      <c r="J19" s="2"/>
      <c r="K19" s="2"/>
      <c r="L19" s="5"/>
      <c r="M19" s="28">
        <f t="shared" si="1"/>
        <v>1</v>
      </c>
      <c r="N19" s="28">
        <f t="shared" si="2"/>
        <v>0</v>
      </c>
      <c r="O19" s="28">
        <f t="shared" si="3"/>
        <v>1</v>
      </c>
      <c r="P19" s="48" t="s">
        <v>32</v>
      </c>
      <c r="Q19" s="9" t="s">
        <v>75</v>
      </c>
      <c r="R19" s="9" t="s">
        <v>68</v>
      </c>
      <c r="S19" s="2" t="s">
        <v>90</v>
      </c>
      <c r="T19" s="2"/>
      <c r="U19" s="2"/>
      <c r="V19" s="2"/>
      <c r="W19" s="2"/>
      <c r="X19" s="2"/>
      <c r="Y19" s="2"/>
    </row>
    <row r="20">
      <c r="A20" s="2" t="s">
        <v>20</v>
      </c>
      <c r="B20" s="2">
        <v>9.0</v>
      </c>
      <c r="C20" s="46" t="s">
        <v>133</v>
      </c>
      <c r="D20" s="2" t="s">
        <v>22</v>
      </c>
      <c r="E20" s="48" t="s">
        <v>18</v>
      </c>
      <c r="F20" s="2" t="s">
        <v>25</v>
      </c>
      <c r="G20" s="2" t="s">
        <v>23</v>
      </c>
      <c r="H20" s="2" t="s">
        <v>22</v>
      </c>
      <c r="I20" s="2"/>
      <c r="J20" s="2"/>
      <c r="K20" s="5"/>
      <c r="L20" s="5"/>
      <c r="M20" s="28">
        <f t="shared" si="1"/>
        <v>3</v>
      </c>
      <c r="N20" s="28">
        <f t="shared" si="2"/>
        <v>1</v>
      </c>
      <c r="O20" s="28">
        <f t="shared" si="3"/>
        <v>1</v>
      </c>
      <c r="P20" s="48" t="s">
        <v>38</v>
      </c>
      <c r="Q20" s="9"/>
      <c r="R20" s="9"/>
      <c r="S20" s="2"/>
      <c r="T20" s="2"/>
      <c r="U20" s="5"/>
      <c r="V20" s="5"/>
      <c r="W20" s="2"/>
      <c r="X20" s="2"/>
      <c r="Y20" s="2"/>
    </row>
    <row r="21">
      <c r="A21" s="2" t="s">
        <v>81</v>
      </c>
      <c r="B21" s="2">
        <v>1.0</v>
      </c>
      <c r="C21" s="46" t="s">
        <v>110</v>
      </c>
      <c r="D21" s="2" t="s">
        <v>23</v>
      </c>
      <c r="E21" s="2" t="s">
        <v>23</v>
      </c>
      <c r="F21" s="2" t="s">
        <v>22</v>
      </c>
      <c r="G21" s="2" t="s">
        <v>23</v>
      </c>
      <c r="H21" s="2" t="s">
        <v>22</v>
      </c>
      <c r="I21" s="2" t="s">
        <v>26</v>
      </c>
      <c r="J21" s="2"/>
      <c r="K21" s="2"/>
      <c r="L21" s="2"/>
      <c r="M21" s="28">
        <f t="shared" si="1"/>
        <v>3</v>
      </c>
      <c r="N21" s="28">
        <f t="shared" si="2"/>
        <v>0</v>
      </c>
      <c r="O21" s="28">
        <f t="shared" si="3"/>
        <v>3</v>
      </c>
      <c r="P21" s="48" t="s">
        <v>42</v>
      </c>
      <c r="Q21" s="9" t="s">
        <v>91</v>
      </c>
      <c r="R21" s="9" t="s">
        <v>68</v>
      </c>
      <c r="S21" s="2" t="s">
        <v>69</v>
      </c>
      <c r="T21" s="2"/>
      <c r="U21" s="2"/>
      <c r="V21" s="2"/>
      <c r="W21" s="2"/>
      <c r="X21" s="2"/>
      <c r="Y21" s="2"/>
    </row>
    <row r="22">
      <c r="A22" s="2" t="s">
        <v>81</v>
      </c>
      <c r="B22" s="2">
        <v>2.0</v>
      </c>
      <c r="C22" s="46" t="s">
        <v>115</v>
      </c>
      <c r="D22" s="2" t="s">
        <v>18</v>
      </c>
      <c r="E22" s="2" t="s">
        <v>22</v>
      </c>
      <c r="F22" s="2" t="s">
        <v>26</v>
      </c>
      <c r="G22" s="2"/>
      <c r="H22" s="2"/>
      <c r="I22" s="2"/>
      <c r="J22" s="2"/>
      <c r="K22" s="5"/>
      <c r="L22" s="5"/>
      <c r="M22" s="28">
        <f t="shared" si="1"/>
        <v>3</v>
      </c>
      <c r="N22" s="28">
        <f t="shared" si="2"/>
        <v>0</v>
      </c>
      <c r="O22" s="28">
        <f t="shared" si="3"/>
        <v>0</v>
      </c>
      <c r="P22" s="48" t="s">
        <v>42</v>
      </c>
      <c r="Q22" s="9" t="s">
        <v>86</v>
      </c>
      <c r="R22" s="9" t="s">
        <v>68</v>
      </c>
      <c r="S22" s="2" t="s">
        <v>69</v>
      </c>
      <c r="T22" s="2"/>
      <c r="U22" s="2"/>
      <c r="V22" s="2"/>
      <c r="W22" s="5"/>
      <c r="X22" s="2"/>
      <c r="Y22" s="2"/>
    </row>
    <row r="23">
      <c r="A23" s="2" t="s">
        <v>87</v>
      </c>
      <c r="B23" s="2">
        <v>3.0</v>
      </c>
      <c r="C23" s="46" t="s">
        <v>119</v>
      </c>
      <c r="D23" s="2" t="s">
        <v>25</v>
      </c>
      <c r="E23" s="48" t="s">
        <v>22</v>
      </c>
      <c r="F23" s="2" t="s">
        <v>18</v>
      </c>
      <c r="G23" s="2"/>
      <c r="H23" s="2"/>
      <c r="I23" s="2"/>
      <c r="J23" s="2"/>
      <c r="K23" s="2"/>
      <c r="L23" s="2"/>
      <c r="M23" s="28">
        <f t="shared" si="1"/>
        <v>2</v>
      </c>
      <c r="N23" s="28">
        <f t="shared" si="2"/>
        <v>1</v>
      </c>
      <c r="O23" s="28">
        <f t="shared" si="3"/>
        <v>0</v>
      </c>
      <c r="P23" s="48" t="s">
        <v>38</v>
      </c>
      <c r="Q23" s="9"/>
      <c r="R23" s="9"/>
      <c r="S23" s="2"/>
      <c r="T23" s="2"/>
      <c r="U23" s="2"/>
      <c r="V23" s="2"/>
      <c r="W23" s="2"/>
      <c r="X23" s="2"/>
      <c r="Y23" s="2"/>
    </row>
    <row r="24">
      <c r="A24" s="2" t="s">
        <v>92</v>
      </c>
      <c r="B24" s="2">
        <v>4.0</v>
      </c>
      <c r="C24" s="46" t="s">
        <v>116</v>
      </c>
      <c r="D24" s="48" t="s">
        <v>26</v>
      </c>
      <c r="E24" s="48"/>
      <c r="F24" s="48"/>
      <c r="G24" s="48"/>
      <c r="H24" s="2"/>
      <c r="I24" s="2"/>
      <c r="J24" s="5"/>
      <c r="K24" s="5"/>
      <c r="L24" s="5"/>
      <c r="M24" s="28">
        <f t="shared" si="1"/>
        <v>1</v>
      </c>
      <c r="N24" s="28">
        <f t="shared" si="2"/>
        <v>0</v>
      </c>
      <c r="O24" s="28">
        <f t="shared" si="3"/>
        <v>0</v>
      </c>
      <c r="P24" s="48" t="s">
        <v>32</v>
      </c>
      <c r="Q24" s="9" t="s">
        <v>82</v>
      </c>
      <c r="R24" s="9" t="s">
        <v>68</v>
      </c>
      <c r="S24" s="78" t="s">
        <v>76</v>
      </c>
      <c r="T24" s="2"/>
      <c r="U24" s="2"/>
      <c r="V24" s="2"/>
      <c r="W24" s="2"/>
      <c r="X24" s="2"/>
      <c r="Y24" s="9"/>
    </row>
    <row r="25">
      <c r="A25" s="2" t="s">
        <v>81</v>
      </c>
      <c r="B25" s="2">
        <v>5.0</v>
      </c>
      <c r="C25" s="46" t="s">
        <v>122</v>
      </c>
      <c r="D25" s="48" t="s">
        <v>23</v>
      </c>
      <c r="E25" s="48" t="s">
        <v>22</v>
      </c>
      <c r="F25" s="48" t="s">
        <v>25</v>
      </c>
      <c r="G25" s="48" t="s">
        <v>23</v>
      </c>
      <c r="H25" s="73" t="s">
        <v>23</v>
      </c>
      <c r="I25" s="2" t="s">
        <v>25</v>
      </c>
      <c r="J25" s="2" t="s">
        <v>26</v>
      </c>
      <c r="K25" s="5"/>
      <c r="L25" s="5"/>
      <c r="M25" s="28">
        <f t="shared" si="1"/>
        <v>2</v>
      </c>
      <c r="N25" s="28">
        <f t="shared" si="2"/>
        <v>2</v>
      </c>
      <c r="O25" s="28">
        <f t="shared" si="3"/>
        <v>3</v>
      </c>
      <c r="P25" s="48" t="s">
        <v>42</v>
      </c>
      <c r="Q25" s="9" t="s">
        <v>86</v>
      </c>
      <c r="R25" s="9" t="s">
        <v>68</v>
      </c>
      <c r="S25" s="78" t="s">
        <v>69</v>
      </c>
      <c r="T25" s="2"/>
      <c r="U25" s="2"/>
      <c r="V25" s="2"/>
      <c r="W25" s="2"/>
      <c r="X25" s="2"/>
      <c r="Y25" s="9"/>
    </row>
    <row r="26">
      <c r="A26" s="2" t="s">
        <v>20</v>
      </c>
      <c r="B26" s="2">
        <v>6.0</v>
      </c>
      <c r="C26" s="46" t="s">
        <v>127</v>
      </c>
      <c r="D26" s="48" t="s">
        <v>26</v>
      </c>
      <c r="E26" s="48"/>
      <c r="F26" s="48"/>
      <c r="G26" s="48"/>
      <c r="H26" s="48"/>
      <c r="I26" s="2"/>
      <c r="J26" s="2"/>
      <c r="K26" s="5"/>
      <c r="L26" s="5"/>
      <c r="M26" s="28">
        <f t="shared" si="1"/>
        <v>1</v>
      </c>
      <c r="N26" s="28">
        <f t="shared" si="2"/>
        <v>0</v>
      </c>
      <c r="O26" s="28">
        <f t="shared" si="3"/>
        <v>0</v>
      </c>
      <c r="P26" s="48" t="s">
        <v>37</v>
      </c>
      <c r="Q26" s="9" t="s">
        <v>86</v>
      </c>
      <c r="R26" s="9" t="s">
        <v>25</v>
      </c>
      <c r="S26" s="2" t="s">
        <v>90</v>
      </c>
      <c r="T26" s="5"/>
      <c r="U26" s="5"/>
      <c r="V26" s="5"/>
      <c r="W26" s="2"/>
      <c r="X26" s="2"/>
      <c r="Y26" s="9"/>
    </row>
    <row r="27">
      <c r="A27" s="2" t="s">
        <v>87</v>
      </c>
      <c r="B27" s="2">
        <v>7.0</v>
      </c>
      <c r="C27" s="46" t="s">
        <v>129</v>
      </c>
      <c r="D27" s="2" t="s">
        <v>18</v>
      </c>
      <c r="E27" s="2" t="s">
        <v>18</v>
      </c>
      <c r="F27" s="2" t="s">
        <v>22</v>
      </c>
      <c r="G27" s="2"/>
      <c r="H27" s="2"/>
      <c r="I27" s="2"/>
      <c r="J27" s="77"/>
      <c r="K27" s="5"/>
      <c r="L27" s="5"/>
      <c r="M27" s="28">
        <f t="shared" si="1"/>
        <v>3</v>
      </c>
      <c r="N27" s="28">
        <f t="shared" si="2"/>
        <v>0</v>
      </c>
      <c r="O27" s="28">
        <f t="shared" si="3"/>
        <v>0</v>
      </c>
      <c r="P27" s="48" t="s">
        <v>38</v>
      </c>
      <c r="Q27" s="9"/>
      <c r="R27" s="9"/>
      <c r="S27" s="2"/>
      <c r="T27" s="2"/>
      <c r="U27" s="2"/>
      <c r="V27" s="2"/>
      <c r="W27" s="2"/>
      <c r="X27" s="2"/>
      <c r="Y27" s="9"/>
    </row>
    <row r="28">
      <c r="A28" s="2" t="s">
        <v>92</v>
      </c>
      <c r="B28" s="2">
        <v>8.0</v>
      </c>
      <c r="C28" s="46" t="s">
        <v>130</v>
      </c>
      <c r="D28" s="2" t="s">
        <v>22</v>
      </c>
      <c r="E28" s="48" t="s">
        <v>23</v>
      </c>
      <c r="F28" s="2" t="s">
        <v>22</v>
      </c>
      <c r="G28" s="2" t="s">
        <v>22</v>
      </c>
      <c r="H28" s="2"/>
      <c r="I28" s="2"/>
      <c r="J28" s="2"/>
      <c r="K28" s="2"/>
      <c r="L28" s="5"/>
      <c r="M28" s="28">
        <f t="shared" si="1"/>
        <v>3</v>
      </c>
      <c r="N28" s="28">
        <f t="shared" si="2"/>
        <v>0</v>
      </c>
      <c r="O28" s="28">
        <f t="shared" si="3"/>
        <v>1</v>
      </c>
      <c r="P28" s="48" t="s">
        <v>38</v>
      </c>
      <c r="Q28" s="9"/>
      <c r="R28" s="9"/>
      <c r="S28" s="2"/>
      <c r="T28" s="5"/>
      <c r="U28" s="5"/>
      <c r="V28" s="5"/>
      <c r="W28" s="5"/>
      <c r="X28" s="2"/>
      <c r="Y28" s="9"/>
    </row>
    <row r="29">
      <c r="A29" s="2" t="s">
        <v>20</v>
      </c>
      <c r="B29" s="2">
        <v>9.0</v>
      </c>
      <c r="C29" s="46" t="s">
        <v>133</v>
      </c>
      <c r="D29" s="2" t="s">
        <v>18</v>
      </c>
      <c r="E29" s="48" t="s">
        <v>23</v>
      </c>
      <c r="F29" s="2" t="s">
        <v>22</v>
      </c>
      <c r="G29" s="2" t="s">
        <v>25</v>
      </c>
      <c r="H29" s="2" t="s">
        <v>18</v>
      </c>
      <c r="I29" s="2"/>
      <c r="J29" s="2"/>
      <c r="K29" s="5"/>
      <c r="L29" s="5"/>
      <c r="M29" s="28">
        <f t="shared" si="1"/>
        <v>3</v>
      </c>
      <c r="N29" s="28">
        <f t="shared" si="2"/>
        <v>1</v>
      </c>
      <c r="O29" s="28">
        <f t="shared" si="3"/>
        <v>1</v>
      </c>
      <c r="P29" s="48" t="s">
        <v>38</v>
      </c>
      <c r="Q29" s="9"/>
      <c r="R29" s="9"/>
      <c r="S29" s="2"/>
      <c r="T29" s="5"/>
      <c r="U29" s="5"/>
      <c r="V29" s="5"/>
      <c r="W29" s="5"/>
      <c r="X29" s="2"/>
      <c r="Y29" s="9"/>
    </row>
    <row r="30">
      <c r="A30" s="2" t="s">
        <v>87</v>
      </c>
      <c r="B30" s="2">
        <v>1.0</v>
      </c>
      <c r="C30" s="46" t="s">
        <v>110</v>
      </c>
      <c r="D30" s="2" t="s">
        <v>25</v>
      </c>
      <c r="E30" s="48" t="s">
        <v>26</v>
      </c>
      <c r="F30" s="2"/>
      <c r="G30" s="2"/>
      <c r="H30" s="2"/>
      <c r="I30" s="2"/>
      <c r="J30" s="2"/>
      <c r="K30" s="5"/>
      <c r="L30" s="5"/>
      <c r="M30" s="28">
        <f t="shared" si="1"/>
        <v>1</v>
      </c>
      <c r="N30" s="28">
        <f t="shared" si="2"/>
        <v>1</v>
      </c>
      <c r="O30" s="28">
        <f t="shared" si="3"/>
        <v>0</v>
      </c>
      <c r="P30" s="48" t="s">
        <v>32</v>
      </c>
      <c r="Q30" s="9" t="s">
        <v>128</v>
      </c>
      <c r="R30" s="9" t="s">
        <v>68</v>
      </c>
      <c r="S30" s="2" t="s">
        <v>90</v>
      </c>
      <c r="T30" s="5"/>
      <c r="U30" s="5"/>
      <c r="V30" s="5"/>
      <c r="W30" s="5"/>
      <c r="X30" s="2"/>
      <c r="Y30" s="9"/>
    </row>
    <row r="31">
      <c r="A31" s="2" t="s">
        <v>92</v>
      </c>
      <c r="B31" s="2">
        <v>2.0</v>
      </c>
      <c r="C31" s="46" t="s">
        <v>115</v>
      </c>
      <c r="D31" s="2" t="s">
        <v>22</v>
      </c>
      <c r="E31" s="2" t="s">
        <v>18</v>
      </c>
      <c r="F31" s="2" t="s">
        <v>25</v>
      </c>
      <c r="G31" s="2" t="s">
        <v>23</v>
      </c>
      <c r="H31" s="2" t="s">
        <v>18</v>
      </c>
      <c r="I31" s="2"/>
      <c r="J31" s="2"/>
      <c r="K31" s="2"/>
      <c r="L31" s="2"/>
      <c r="M31" s="28">
        <f t="shared" si="1"/>
        <v>3</v>
      </c>
      <c r="N31" s="28">
        <f t="shared" si="2"/>
        <v>1</v>
      </c>
      <c r="O31" s="28">
        <f t="shared" si="3"/>
        <v>1</v>
      </c>
      <c r="P31" s="48" t="s">
        <v>38</v>
      </c>
      <c r="Q31" s="9"/>
      <c r="R31" s="9"/>
      <c r="S31" s="2"/>
      <c r="T31" s="5"/>
      <c r="U31" s="2"/>
      <c r="V31" s="2"/>
      <c r="W31" s="2"/>
      <c r="X31" s="2"/>
      <c r="Y31" s="9"/>
    </row>
    <row r="32">
      <c r="A32" s="2" t="s">
        <v>47</v>
      </c>
      <c r="B32" s="2">
        <v>3.0</v>
      </c>
      <c r="C32" s="46" t="s">
        <v>119</v>
      </c>
      <c r="D32" s="2" t="s">
        <v>18</v>
      </c>
      <c r="E32" s="48" t="s">
        <v>26</v>
      </c>
      <c r="F32" s="2"/>
      <c r="G32" s="2"/>
      <c r="H32" s="2"/>
      <c r="I32" s="2"/>
      <c r="J32" s="2"/>
      <c r="K32" s="2"/>
      <c r="L32" s="5"/>
      <c r="M32" s="28">
        <f t="shared" si="1"/>
        <v>2</v>
      </c>
      <c r="N32" s="28">
        <f t="shared" si="2"/>
        <v>0</v>
      </c>
      <c r="O32" s="28">
        <f t="shared" si="3"/>
        <v>0</v>
      </c>
      <c r="P32" s="48" t="s">
        <v>42</v>
      </c>
      <c r="Q32" s="9" t="s">
        <v>91</v>
      </c>
      <c r="R32" s="9" t="s">
        <v>81</v>
      </c>
      <c r="S32" s="2" t="s">
        <v>69</v>
      </c>
      <c r="T32" s="5"/>
      <c r="U32" s="2">
        <v>1.0</v>
      </c>
      <c r="V32" s="5"/>
      <c r="W32" s="2">
        <v>1.0</v>
      </c>
      <c r="X32" s="2"/>
      <c r="Y32" s="9"/>
    </row>
    <row r="33">
      <c r="A33" s="2" t="s">
        <v>47</v>
      </c>
      <c r="B33" s="2">
        <v>4.0</v>
      </c>
      <c r="C33" s="46" t="s">
        <v>116</v>
      </c>
      <c r="D33" s="2" t="s">
        <v>23</v>
      </c>
      <c r="E33" s="2" t="s">
        <v>23</v>
      </c>
      <c r="F33" s="2" t="s">
        <v>23</v>
      </c>
      <c r="G33" s="2" t="s">
        <v>23</v>
      </c>
      <c r="H33" s="2"/>
      <c r="I33" s="2"/>
      <c r="J33" s="5"/>
      <c r="K33" s="5"/>
      <c r="L33" s="5"/>
      <c r="M33" s="28">
        <f t="shared" si="1"/>
        <v>0</v>
      </c>
      <c r="N33" s="28">
        <f t="shared" si="2"/>
        <v>0</v>
      </c>
      <c r="O33" s="28">
        <f t="shared" si="3"/>
        <v>4</v>
      </c>
      <c r="P33" s="48" t="s">
        <v>50</v>
      </c>
      <c r="Q33" s="9"/>
      <c r="R33" s="9"/>
      <c r="S33" s="2"/>
      <c r="T33" s="5"/>
      <c r="U33" s="5"/>
      <c r="V33" s="5"/>
      <c r="W33" s="5"/>
      <c r="X33" s="2"/>
      <c r="Y33" s="9"/>
    </row>
    <row r="34">
      <c r="A34" s="2" t="s">
        <v>20</v>
      </c>
      <c r="B34" s="2">
        <v>5.0</v>
      </c>
      <c r="C34" s="46" t="s">
        <v>122</v>
      </c>
      <c r="D34" s="48" t="s">
        <v>23</v>
      </c>
      <c r="E34" s="48" t="s">
        <v>22</v>
      </c>
      <c r="F34" s="48" t="s">
        <v>25</v>
      </c>
      <c r="G34" s="48" t="s">
        <v>22</v>
      </c>
      <c r="H34" s="73"/>
      <c r="I34" s="2"/>
      <c r="J34" s="2"/>
      <c r="K34" s="5"/>
      <c r="L34" s="5"/>
      <c r="M34" s="28">
        <f t="shared" si="1"/>
        <v>2</v>
      </c>
      <c r="N34" s="28">
        <f t="shared" si="2"/>
        <v>1</v>
      </c>
      <c r="O34" s="28">
        <f t="shared" si="3"/>
        <v>1</v>
      </c>
      <c r="P34" s="48" t="s">
        <v>38</v>
      </c>
      <c r="Q34" s="9"/>
      <c r="R34" s="9"/>
      <c r="S34" s="2"/>
      <c r="T34" s="5"/>
      <c r="U34" s="5"/>
      <c r="V34" s="5"/>
      <c r="W34" s="2"/>
      <c r="X34" s="2"/>
      <c r="Y34" s="9"/>
    </row>
    <row r="35">
      <c r="A35" s="2" t="s">
        <v>47</v>
      </c>
      <c r="B35" s="2">
        <v>6.0</v>
      </c>
      <c r="C35" s="46" t="s">
        <v>127</v>
      </c>
      <c r="D35" s="48" t="s">
        <v>26</v>
      </c>
      <c r="E35" s="48"/>
      <c r="F35" s="48"/>
      <c r="G35" s="48"/>
      <c r="H35" s="48"/>
      <c r="I35" s="2"/>
      <c r="J35" s="2"/>
      <c r="K35" s="5"/>
      <c r="L35" s="5"/>
      <c r="M35" s="28">
        <f t="shared" si="1"/>
        <v>1</v>
      </c>
      <c r="N35" s="28">
        <f t="shared" si="2"/>
        <v>0</v>
      </c>
      <c r="O35" s="28">
        <f t="shared" si="3"/>
        <v>0</v>
      </c>
      <c r="P35" s="48" t="s">
        <v>44</v>
      </c>
      <c r="Q35" s="9" t="s">
        <v>86</v>
      </c>
      <c r="R35" s="9" t="s">
        <v>81</v>
      </c>
      <c r="S35" s="2" t="s">
        <v>69</v>
      </c>
      <c r="T35" s="5"/>
      <c r="U35" s="5"/>
      <c r="V35" s="5"/>
      <c r="W35" s="2">
        <v>1.0</v>
      </c>
      <c r="X35" s="2">
        <v>1.0</v>
      </c>
      <c r="Y35" s="9"/>
    </row>
    <row r="36">
      <c r="A36" s="2" t="s">
        <v>87</v>
      </c>
      <c r="B36" s="2">
        <v>7.0</v>
      </c>
      <c r="C36" s="46" t="s">
        <v>129</v>
      </c>
      <c r="D36" s="2" t="s">
        <v>26</v>
      </c>
      <c r="E36" s="2"/>
      <c r="F36" s="2"/>
      <c r="G36" s="2"/>
      <c r="H36" s="2"/>
      <c r="I36" s="2"/>
      <c r="J36" s="77"/>
      <c r="K36" s="5"/>
      <c r="L36" s="5"/>
      <c r="M36" s="28">
        <f t="shared" si="1"/>
        <v>1</v>
      </c>
      <c r="N36" s="28">
        <f t="shared" si="2"/>
        <v>0</v>
      </c>
      <c r="O36" s="28">
        <f t="shared" si="3"/>
        <v>0</v>
      </c>
      <c r="P36" s="48" t="s">
        <v>35</v>
      </c>
      <c r="Q36" s="9" t="s">
        <v>128</v>
      </c>
      <c r="R36" s="9" t="s">
        <v>81</v>
      </c>
      <c r="S36" s="2" t="s">
        <v>90</v>
      </c>
      <c r="T36" s="5"/>
      <c r="U36" s="5"/>
      <c r="V36" s="5"/>
      <c r="W36" s="2">
        <v>1.0</v>
      </c>
      <c r="X36" s="2"/>
      <c r="Y36" s="9"/>
    </row>
    <row r="37">
      <c r="A37" s="2" t="s">
        <v>47</v>
      </c>
      <c r="B37" s="2">
        <v>8.0</v>
      </c>
      <c r="C37" s="46" t="s">
        <v>130</v>
      </c>
      <c r="D37" s="2" t="s">
        <v>23</v>
      </c>
      <c r="E37" s="48" t="s">
        <v>23</v>
      </c>
      <c r="F37" s="2" t="s">
        <v>25</v>
      </c>
      <c r="G37" s="2" t="s">
        <v>23</v>
      </c>
      <c r="H37" s="2" t="s">
        <v>23</v>
      </c>
      <c r="I37" s="2"/>
      <c r="J37" s="2"/>
      <c r="K37" s="2"/>
      <c r="L37" s="5"/>
      <c r="M37" s="28">
        <f t="shared" si="1"/>
        <v>0</v>
      </c>
      <c r="N37" s="28">
        <f t="shared" si="2"/>
        <v>1</v>
      </c>
      <c r="O37" s="28">
        <f t="shared" si="3"/>
        <v>4</v>
      </c>
      <c r="P37" s="48" t="s">
        <v>50</v>
      </c>
      <c r="Q37" s="80"/>
      <c r="R37" s="80"/>
      <c r="S37" s="5"/>
      <c r="T37" s="5"/>
      <c r="U37" s="5"/>
      <c r="V37" s="5"/>
      <c r="W37" s="2">
        <v>1.0</v>
      </c>
      <c r="X37" s="2"/>
      <c r="Y37" s="9"/>
    </row>
    <row r="38">
      <c r="A38" s="2"/>
      <c r="B38" s="2">
        <v>9.0</v>
      </c>
      <c r="C38" s="46" t="s">
        <v>133</v>
      </c>
      <c r="D38" s="2" t="s">
        <v>26</v>
      </c>
      <c r="E38" s="48"/>
      <c r="F38" s="2"/>
      <c r="G38" s="2"/>
      <c r="H38" s="2"/>
      <c r="I38" s="2"/>
      <c r="J38" s="2"/>
      <c r="K38" s="5"/>
      <c r="L38" s="5"/>
      <c r="M38" s="28">
        <f t="shared" si="1"/>
        <v>1</v>
      </c>
      <c r="N38" s="28">
        <f t="shared" si="2"/>
        <v>0</v>
      </c>
      <c r="O38" s="28">
        <f t="shared" si="3"/>
        <v>0</v>
      </c>
      <c r="P38" s="48" t="s">
        <v>45</v>
      </c>
      <c r="Q38" s="9" t="s">
        <v>86</v>
      </c>
      <c r="R38" s="9" t="s">
        <v>25</v>
      </c>
      <c r="S38" s="2" t="s">
        <v>69</v>
      </c>
      <c r="T38" s="5"/>
      <c r="U38" s="5"/>
      <c r="V38" s="5"/>
      <c r="W38" s="2"/>
      <c r="X38" s="2">
        <v>3.0</v>
      </c>
      <c r="Y38" s="2" t="s">
        <v>150</v>
      </c>
    </row>
    <row r="39">
      <c r="A39" s="2"/>
      <c r="B39" s="2">
        <v>1.0</v>
      </c>
      <c r="C39" s="81"/>
      <c r="D39" s="2"/>
      <c r="E39" s="48"/>
      <c r="F39" s="2"/>
      <c r="G39" s="2"/>
      <c r="H39" s="2"/>
      <c r="I39" s="2"/>
      <c r="J39" s="2"/>
      <c r="K39" s="5"/>
      <c r="L39" s="5"/>
      <c r="M39" s="28">
        <f t="shared" si="1"/>
        <v>0</v>
      </c>
      <c r="N39" s="28">
        <f t="shared" si="2"/>
        <v>0</v>
      </c>
      <c r="O39" s="28">
        <f t="shared" si="3"/>
        <v>0</v>
      </c>
      <c r="P39" s="48"/>
      <c r="Q39" s="80"/>
      <c r="R39" s="80"/>
      <c r="S39" s="5"/>
      <c r="T39" s="5"/>
      <c r="U39" s="5"/>
      <c r="V39" s="5"/>
      <c r="W39" s="5"/>
      <c r="X39" s="2"/>
      <c r="Y39" s="9"/>
    </row>
    <row r="40">
      <c r="A40" s="2"/>
      <c r="B40" s="2">
        <v>2.0</v>
      </c>
      <c r="C40" s="81"/>
      <c r="D40" s="2"/>
      <c r="E40" s="48"/>
      <c r="F40" s="2"/>
      <c r="G40" s="2"/>
      <c r="H40" s="2"/>
      <c r="I40" s="2"/>
      <c r="J40" s="2"/>
      <c r="K40" s="5"/>
      <c r="L40" s="5"/>
      <c r="M40" s="28">
        <f t="shared" si="1"/>
        <v>0</v>
      </c>
      <c r="N40" s="28">
        <f t="shared" si="2"/>
        <v>0</v>
      </c>
      <c r="O40" s="28">
        <f t="shared" si="3"/>
        <v>0</v>
      </c>
      <c r="P40" s="48"/>
      <c r="Q40" s="80"/>
      <c r="R40" s="80"/>
      <c r="S40" s="5"/>
      <c r="T40" s="5"/>
      <c r="U40" s="5"/>
      <c r="V40" s="5"/>
      <c r="W40" s="5"/>
      <c r="X40" s="2"/>
      <c r="Y40" s="9"/>
    </row>
    <row r="41">
      <c r="A41" s="2"/>
      <c r="B41" s="2">
        <v>3.0</v>
      </c>
      <c r="C41" s="81"/>
      <c r="D41" s="2"/>
      <c r="E41" s="48"/>
      <c r="F41" s="2"/>
      <c r="G41" s="2"/>
      <c r="H41" s="2"/>
      <c r="I41" s="2"/>
      <c r="J41" s="2"/>
      <c r="K41" s="5"/>
      <c r="L41" s="5"/>
      <c r="M41" s="28">
        <f t="shared" si="1"/>
        <v>0</v>
      </c>
      <c r="N41" s="28">
        <f t="shared" si="2"/>
        <v>0</v>
      </c>
      <c r="O41" s="28">
        <f t="shared" si="3"/>
        <v>0</v>
      </c>
      <c r="P41" s="48"/>
      <c r="Q41" s="80"/>
      <c r="R41" s="80"/>
      <c r="S41" s="5"/>
      <c r="T41" s="5"/>
      <c r="U41" s="5"/>
      <c r="V41" s="5"/>
      <c r="W41" s="5"/>
      <c r="X41" s="2"/>
      <c r="Y41" s="9"/>
    </row>
    <row r="42">
      <c r="A42" s="2"/>
      <c r="B42" s="2">
        <v>4.0</v>
      </c>
      <c r="C42" s="81"/>
      <c r="D42" s="2"/>
      <c r="E42" s="48"/>
      <c r="F42" s="2"/>
      <c r="G42" s="2"/>
      <c r="H42" s="2"/>
      <c r="I42" s="2"/>
      <c r="J42" s="2"/>
      <c r="K42" s="5"/>
      <c r="L42" s="5"/>
      <c r="M42" s="28">
        <f t="shared" si="1"/>
        <v>0</v>
      </c>
      <c r="N42" s="28">
        <f t="shared" si="2"/>
        <v>0</v>
      </c>
      <c r="O42" s="28">
        <f t="shared" si="3"/>
        <v>0</v>
      </c>
      <c r="P42" s="48"/>
      <c r="Q42" s="80"/>
      <c r="R42" s="80"/>
      <c r="S42" s="5"/>
      <c r="T42" s="5"/>
      <c r="U42" s="5"/>
      <c r="V42" s="5"/>
      <c r="W42" s="5"/>
      <c r="X42" s="2"/>
      <c r="Y42" s="9"/>
    </row>
    <row r="43">
      <c r="A43" s="2"/>
      <c r="B43" s="2">
        <v>5.0</v>
      </c>
      <c r="C43" s="81"/>
      <c r="D43" s="2"/>
      <c r="E43" s="48"/>
      <c r="F43" s="2"/>
      <c r="G43" s="2"/>
      <c r="H43" s="2"/>
      <c r="I43" s="2"/>
      <c r="J43" s="2"/>
      <c r="K43" s="5"/>
      <c r="L43" s="5"/>
      <c r="M43" s="28">
        <f t="shared" si="1"/>
        <v>0</v>
      </c>
      <c r="N43" s="28">
        <f t="shared" si="2"/>
        <v>0</v>
      </c>
      <c r="O43" s="28">
        <f t="shared" si="3"/>
        <v>0</v>
      </c>
      <c r="P43" s="48"/>
      <c r="Q43" s="80"/>
      <c r="R43" s="80"/>
      <c r="S43" s="5"/>
      <c r="T43" s="5"/>
      <c r="U43" s="5"/>
      <c r="V43" s="5"/>
      <c r="W43" s="5"/>
      <c r="X43" s="2"/>
      <c r="Y43" s="9"/>
    </row>
    <row r="44">
      <c r="A44" s="2"/>
      <c r="B44" s="2">
        <v>6.0</v>
      </c>
      <c r="C44" s="81"/>
      <c r="D44" s="2"/>
      <c r="E44" s="48"/>
      <c r="F44" s="2"/>
      <c r="G44" s="2"/>
      <c r="H44" s="2"/>
      <c r="I44" s="2"/>
      <c r="J44" s="2"/>
      <c r="K44" s="5"/>
      <c r="L44" s="5"/>
      <c r="M44" s="28">
        <f t="shared" si="1"/>
        <v>0</v>
      </c>
      <c r="N44" s="28">
        <f t="shared" si="2"/>
        <v>0</v>
      </c>
      <c r="O44" s="28">
        <f t="shared" si="3"/>
        <v>0</v>
      </c>
      <c r="P44" s="48"/>
      <c r="Q44" s="80"/>
      <c r="R44" s="80"/>
      <c r="S44" s="5"/>
      <c r="T44" s="5"/>
      <c r="U44" s="5"/>
      <c r="V44" s="5"/>
      <c r="W44" s="5"/>
      <c r="X44" s="2"/>
      <c r="Y44" s="9"/>
    </row>
    <row r="45">
      <c r="A45" s="2"/>
      <c r="B45" s="2">
        <v>7.0</v>
      </c>
      <c r="C45" s="81"/>
      <c r="D45" s="2"/>
      <c r="E45" s="48"/>
      <c r="F45" s="2"/>
      <c r="G45" s="2"/>
      <c r="H45" s="2"/>
      <c r="I45" s="2"/>
      <c r="J45" s="2"/>
      <c r="K45" s="5"/>
      <c r="L45" s="5"/>
      <c r="M45" s="28">
        <f t="shared" si="1"/>
        <v>0</v>
      </c>
      <c r="N45" s="28">
        <f t="shared" si="2"/>
        <v>0</v>
      </c>
      <c r="O45" s="28">
        <f t="shared" si="3"/>
        <v>0</v>
      </c>
      <c r="P45" s="48"/>
      <c r="Q45" s="80"/>
      <c r="R45" s="80"/>
      <c r="S45" s="5"/>
      <c r="T45" s="5"/>
      <c r="U45" s="5"/>
      <c r="V45" s="5"/>
      <c r="W45" s="5"/>
      <c r="X45" s="2"/>
      <c r="Y45" s="9"/>
    </row>
    <row r="46">
      <c r="A46" s="2"/>
      <c r="B46" s="2">
        <v>8.0</v>
      </c>
      <c r="C46" s="81"/>
      <c r="D46" s="2"/>
      <c r="E46" s="48"/>
      <c r="F46" s="2"/>
      <c r="G46" s="2"/>
      <c r="H46" s="2"/>
      <c r="I46" s="2"/>
      <c r="J46" s="2"/>
      <c r="K46" s="5"/>
      <c r="L46" s="5"/>
      <c r="M46" s="28">
        <f t="shared" si="1"/>
        <v>0</v>
      </c>
      <c r="N46" s="28">
        <f t="shared" si="2"/>
        <v>0</v>
      </c>
      <c r="O46" s="28">
        <f t="shared" si="3"/>
        <v>0</v>
      </c>
      <c r="P46" s="48"/>
      <c r="Q46" s="80"/>
      <c r="R46" s="80"/>
      <c r="S46" s="5"/>
      <c r="T46" s="5"/>
      <c r="U46" s="5"/>
      <c r="V46" s="5"/>
      <c r="W46" s="5"/>
      <c r="X46" s="2"/>
      <c r="Y46" s="9"/>
    </row>
    <row r="47">
      <c r="A47" s="2"/>
      <c r="B47" s="2">
        <v>9.0</v>
      </c>
      <c r="C47" s="81"/>
      <c r="D47" s="2"/>
      <c r="E47" s="48"/>
      <c r="F47" s="2"/>
      <c r="G47" s="2"/>
      <c r="H47" s="2"/>
      <c r="I47" s="2"/>
      <c r="J47" s="2"/>
      <c r="K47" s="5"/>
      <c r="L47" s="5"/>
      <c r="M47" s="28">
        <f t="shared" si="1"/>
        <v>0</v>
      </c>
      <c r="N47" s="28">
        <f t="shared" si="2"/>
        <v>0</v>
      </c>
      <c r="O47" s="28">
        <f t="shared" si="3"/>
        <v>0</v>
      </c>
      <c r="P47" s="48"/>
      <c r="Q47" s="80"/>
      <c r="R47" s="80"/>
      <c r="S47" s="5"/>
      <c r="T47" s="5"/>
      <c r="U47" s="5"/>
      <c r="V47" s="5"/>
      <c r="W47" s="5"/>
      <c r="X47" s="2"/>
      <c r="Y47" s="9"/>
    </row>
    <row r="48">
      <c r="A48" s="2"/>
      <c r="B48" s="2">
        <v>1.0</v>
      </c>
      <c r="C48" s="81"/>
      <c r="D48" s="2"/>
      <c r="E48" s="48"/>
      <c r="F48" s="2"/>
      <c r="G48" s="2"/>
      <c r="H48" s="2"/>
      <c r="I48" s="2"/>
      <c r="J48" s="2"/>
      <c r="K48" s="5"/>
      <c r="L48" s="5"/>
      <c r="M48" s="28">
        <f t="shared" si="1"/>
        <v>0</v>
      </c>
      <c r="N48" s="28">
        <f t="shared" si="2"/>
        <v>0</v>
      </c>
      <c r="O48" s="28">
        <f t="shared" si="3"/>
        <v>0</v>
      </c>
      <c r="P48" s="48"/>
      <c r="Q48" s="80"/>
      <c r="R48" s="80"/>
      <c r="S48" s="5"/>
      <c r="T48" s="5"/>
      <c r="U48" s="5"/>
      <c r="V48" s="5"/>
      <c r="W48" s="5"/>
      <c r="X48" s="2"/>
      <c r="Y48" s="9"/>
    </row>
    <row r="49">
      <c r="A49" s="2"/>
      <c r="B49" s="2">
        <v>2.0</v>
      </c>
      <c r="C49" s="81"/>
      <c r="D49" s="2"/>
      <c r="E49" s="48"/>
      <c r="F49" s="2"/>
      <c r="G49" s="2"/>
      <c r="H49" s="2"/>
      <c r="I49" s="2"/>
      <c r="J49" s="2"/>
      <c r="K49" s="5"/>
      <c r="L49" s="5"/>
      <c r="M49" s="28">
        <f t="shared" si="1"/>
        <v>0</v>
      </c>
      <c r="N49" s="28">
        <f t="shared" si="2"/>
        <v>0</v>
      </c>
      <c r="O49" s="28">
        <f t="shared" si="3"/>
        <v>0</v>
      </c>
      <c r="P49" s="48"/>
      <c r="Q49" s="80"/>
      <c r="R49" s="80"/>
      <c r="S49" s="5"/>
      <c r="T49" s="5"/>
      <c r="U49" s="5"/>
      <c r="V49" s="5"/>
      <c r="W49" s="5"/>
      <c r="X49" s="2"/>
      <c r="Y49" s="9"/>
    </row>
    <row r="50">
      <c r="A50" s="2"/>
      <c r="B50" s="2">
        <v>3.0</v>
      </c>
      <c r="C50" s="81"/>
      <c r="D50" s="2"/>
      <c r="E50" s="48"/>
      <c r="F50" s="2"/>
      <c r="G50" s="2"/>
      <c r="H50" s="2"/>
      <c r="I50" s="2"/>
      <c r="J50" s="2"/>
      <c r="K50" s="5"/>
      <c r="L50" s="5"/>
      <c r="M50" s="28">
        <f t="shared" si="1"/>
        <v>0</v>
      </c>
      <c r="N50" s="28">
        <f t="shared" si="2"/>
        <v>0</v>
      </c>
      <c r="O50" s="28">
        <f t="shared" si="3"/>
        <v>0</v>
      </c>
      <c r="P50" s="48"/>
      <c r="Q50" s="80"/>
      <c r="R50" s="80"/>
      <c r="S50" s="5"/>
      <c r="T50" s="5"/>
      <c r="U50" s="5"/>
      <c r="V50" s="5"/>
      <c r="W50" s="5"/>
      <c r="X50" s="2"/>
      <c r="Y50" s="9"/>
    </row>
    <row r="51">
      <c r="A51" s="2"/>
      <c r="B51" s="2">
        <v>4.0</v>
      </c>
      <c r="C51" s="81"/>
      <c r="D51" s="2"/>
      <c r="E51" s="48"/>
      <c r="F51" s="2"/>
      <c r="G51" s="2"/>
      <c r="H51" s="2"/>
      <c r="I51" s="2"/>
      <c r="J51" s="2"/>
      <c r="K51" s="5"/>
      <c r="L51" s="5"/>
      <c r="M51" s="28">
        <f t="shared" si="1"/>
        <v>0</v>
      </c>
      <c r="N51" s="28">
        <f t="shared" si="2"/>
        <v>0</v>
      </c>
      <c r="O51" s="28">
        <f t="shared" si="3"/>
        <v>0</v>
      </c>
      <c r="P51" s="48"/>
      <c r="Q51" s="80"/>
      <c r="R51" s="80"/>
      <c r="S51" s="5"/>
      <c r="T51" s="5"/>
      <c r="U51" s="5"/>
      <c r="V51" s="5"/>
      <c r="W51" s="5"/>
      <c r="X51" s="2"/>
      <c r="Y51" s="9"/>
    </row>
    <row r="52">
      <c r="A52" s="2"/>
      <c r="B52" s="2">
        <v>5.0</v>
      </c>
      <c r="C52" s="81"/>
      <c r="D52" s="2"/>
      <c r="E52" s="48"/>
      <c r="F52" s="2"/>
      <c r="G52" s="2"/>
      <c r="H52" s="2"/>
      <c r="I52" s="2"/>
      <c r="J52" s="2"/>
      <c r="K52" s="5"/>
      <c r="L52" s="5"/>
      <c r="M52" s="28">
        <f t="shared" si="1"/>
        <v>0</v>
      </c>
      <c r="N52" s="28">
        <f t="shared" si="2"/>
        <v>0</v>
      </c>
      <c r="O52" s="28">
        <f t="shared" si="3"/>
        <v>0</v>
      </c>
      <c r="P52" s="48"/>
      <c r="Q52" s="80"/>
      <c r="R52" s="80"/>
      <c r="S52" s="5"/>
      <c r="T52" s="5"/>
      <c r="U52" s="5"/>
      <c r="V52" s="5"/>
      <c r="W52" s="5"/>
      <c r="X52" s="2"/>
      <c r="Y52" s="9"/>
    </row>
    <row r="53">
      <c r="A53" s="2"/>
      <c r="B53" s="2">
        <v>6.0</v>
      </c>
      <c r="C53" s="81"/>
      <c r="D53" s="2"/>
      <c r="E53" s="48"/>
      <c r="F53" s="2"/>
      <c r="G53" s="2"/>
      <c r="H53" s="2"/>
      <c r="I53" s="2"/>
      <c r="J53" s="2"/>
      <c r="K53" s="5"/>
      <c r="L53" s="5"/>
      <c r="M53" s="28">
        <f t="shared" si="1"/>
        <v>0</v>
      </c>
      <c r="N53" s="28">
        <f t="shared" si="2"/>
        <v>0</v>
      </c>
      <c r="O53" s="28">
        <f t="shared" si="3"/>
        <v>0</v>
      </c>
      <c r="P53" s="48"/>
      <c r="Q53" s="80"/>
      <c r="R53" s="80"/>
      <c r="S53" s="5"/>
      <c r="T53" s="5"/>
      <c r="U53" s="5"/>
      <c r="V53" s="5"/>
      <c r="W53" s="5"/>
      <c r="X53" s="2"/>
      <c r="Y53" s="9"/>
    </row>
    <row r="54">
      <c r="A54" s="2"/>
      <c r="B54" s="2">
        <v>7.0</v>
      </c>
      <c r="C54" s="81"/>
      <c r="D54" s="2"/>
      <c r="E54" s="48"/>
      <c r="F54" s="2"/>
      <c r="G54" s="2"/>
      <c r="H54" s="2"/>
      <c r="I54" s="2"/>
      <c r="J54" s="2"/>
      <c r="K54" s="5"/>
      <c r="L54" s="5"/>
      <c r="M54" s="28">
        <f t="shared" si="1"/>
        <v>0</v>
      </c>
      <c r="N54" s="28">
        <f t="shared" si="2"/>
        <v>0</v>
      </c>
      <c r="O54" s="28">
        <f t="shared" si="3"/>
        <v>0</v>
      </c>
      <c r="P54" s="48"/>
      <c r="Q54" s="80"/>
      <c r="R54" s="80"/>
      <c r="S54" s="5"/>
      <c r="T54" s="5"/>
      <c r="U54" s="5"/>
      <c r="V54" s="5"/>
      <c r="W54" s="5"/>
      <c r="X54" s="2"/>
      <c r="Y54" s="9"/>
    </row>
    <row r="55">
      <c r="A55" s="2"/>
      <c r="B55" s="2">
        <v>8.0</v>
      </c>
      <c r="C55" s="81"/>
      <c r="D55" s="2"/>
      <c r="E55" s="48"/>
      <c r="F55" s="2"/>
      <c r="G55" s="2"/>
      <c r="H55" s="2"/>
      <c r="I55" s="2"/>
      <c r="J55" s="2"/>
      <c r="K55" s="5"/>
      <c r="L55" s="5"/>
      <c r="M55" s="28">
        <f t="shared" si="1"/>
        <v>0</v>
      </c>
      <c r="N55" s="28">
        <f t="shared" si="2"/>
        <v>0</v>
      </c>
      <c r="O55" s="28">
        <f t="shared" si="3"/>
        <v>0</v>
      </c>
      <c r="P55" s="48"/>
      <c r="Q55" s="80"/>
      <c r="R55" s="80"/>
      <c r="S55" s="5"/>
      <c r="T55" s="5"/>
      <c r="U55" s="5"/>
      <c r="V55" s="5"/>
      <c r="W55" s="5"/>
      <c r="X55" s="2"/>
      <c r="Y55" s="9"/>
    </row>
    <row r="56">
      <c r="A56" s="2"/>
      <c r="B56" s="2">
        <v>9.0</v>
      </c>
      <c r="C56" s="81"/>
      <c r="D56" s="2"/>
      <c r="E56" s="48"/>
      <c r="F56" s="2"/>
      <c r="G56" s="2"/>
      <c r="H56" s="2"/>
      <c r="I56" s="2"/>
      <c r="J56" s="2"/>
      <c r="K56" s="5"/>
      <c r="L56" s="5"/>
      <c r="M56" s="28">
        <f t="shared" si="1"/>
        <v>0</v>
      </c>
      <c r="N56" s="28">
        <f t="shared" si="2"/>
        <v>0</v>
      </c>
      <c r="O56" s="28">
        <f t="shared" si="3"/>
        <v>0</v>
      </c>
      <c r="P56" s="48"/>
      <c r="Q56" s="80"/>
      <c r="R56" s="80"/>
      <c r="S56" s="5"/>
      <c r="T56" s="5"/>
      <c r="U56" s="5"/>
      <c r="V56" s="5"/>
      <c r="W56" s="5"/>
      <c r="X56" s="2"/>
      <c r="Y56" s="9"/>
    </row>
    <row r="57">
      <c r="A57" s="2"/>
      <c r="B57" s="2">
        <v>1.0</v>
      </c>
      <c r="C57" s="81"/>
      <c r="D57" s="2"/>
      <c r="E57" s="48"/>
      <c r="F57" s="2"/>
      <c r="G57" s="2"/>
      <c r="H57" s="2"/>
      <c r="I57" s="2"/>
      <c r="J57" s="2"/>
      <c r="K57" s="5"/>
      <c r="L57" s="5"/>
      <c r="M57" s="28">
        <f t="shared" si="1"/>
        <v>0</v>
      </c>
      <c r="N57" s="28">
        <f t="shared" si="2"/>
        <v>0</v>
      </c>
      <c r="O57" s="28">
        <f t="shared" si="3"/>
        <v>0</v>
      </c>
      <c r="P57" s="48"/>
      <c r="Q57" s="80"/>
      <c r="R57" s="80"/>
      <c r="S57" s="5"/>
      <c r="T57" s="5"/>
      <c r="U57" s="5"/>
      <c r="V57" s="5"/>
      <c r="W57" s="5"/>
      <c r="X57" s="2"/>
      <c r="Y57" s="9"/>
    </row>
    <row r="58">
      <c r="A58" s="2"/>
      <c r="B58" s="2">
        <v>2.0</v>
      </c>
      <c r="C58" s="81"/>
      <c r="D58" s="2"/>
      <c r="E58" s="48"/>
      <c r="F58" s="2"/>
      <c r="G58" s="2"/>
      <c r="H58" s="2"/>
      <c r="I58" s="2"/>
      <c r="J58" s="2"/>
      <c r="K58" s="5"/>
      <c r="L58" s="5"/>
      <c r="M58" s="28">
        <f t="shared" si="1"/>
        <v>0</v>
      </c>
      <c r="N58" s="28">
        <f t="shared" si="2"/>
        <v>0</v>
      </c>
      <c r="O58" s="28">
        <f t="shared" si="3"/>
        <v>0</v>
      </c>
      <c r="P58" s="48"/>
      <c r="Q58" s="80"/>
      <c r="R58" s="80"/>
      <c r="S58" s="5"/>
      <c r="T58" s="5"/>
      <c r="U58" s="5"/>
      <c r="V58" s="5"/>
      <c r="W58" s="5"/>
      <c r="X58" s="2"/>
      <c r="Y58" s="9"/>
    </row>
    <row r="59">
      <c r="A59" s="2"/>
      <c r="B59" s="2">
        <v>3.0</v>
      </c>
      <c r="C59" s="81"/>
      <c r="D59" s="2"/>
      <c r="E59" s="48"/>
      <c r="F59" s="2"/>
      <c r="G59" s="2"/>
      <c r="H59" s="2"/>
      <c r="I59" s="2"/>
      <c r="J59" s="2"/>
      <c r="K59" s="5"/>
      <c r="L59" s="5"/>
      <c r="M59" s="28">
        <f t="shared" si="1"/>
        <v>0</v>
      </c>
      <c r="N59" s="28">
        <f t="shared" si="2"/>
        <v>0</v>
      </c>
      <c r="O59" s="28">
        <f t="shared" si="3"/>
        <v>0</v>
      </c>
      <c r="P59" s="48"/>
      <c r="Q59" s="80"/>
      <c r="R59" s="80"/>
      <c r="S59" s="5"/>
      <c r="T59" s="5"/>
      <c r="U59" s="5"/>
      <c r="V59" s="5"/>
      <c r="W59" s="5"/>
      <c r="X59" s="2"/>
      <c r="Y59" s="9"/>
    </row>
    <row r="60">
      <c r="A60" s="2"/>
      <c r="B60" s="2">
        <v>4.0</v>
      </c>
      <c r="C60" s="81"/>
      <c r="D60" s="2"/>
      <c r="E60" s="48"/>
      <c r="F60" s="2"/>
      <c r="G60" s="2"/>
      <c r="H60" s="2"/>
      <c r="I60" s="2"/>
      <c r="J60" s="2"/>
      <c r="K60" s="5"/>
      <c r="L60" s="5"/>
      <c r="M60" s="28">
        <f t="shared" si="1"/>
        <v>0</v>
      </c>
      <c r="N60" s="28">
        <f t="shared" si="2"/>
        <v>0</v>
      </c>
      <c r="O60" s="28">
        <f t="shared" si="3"/>
        <v>0</v>
      </c>
      <c r="P60" s="48"/>
      <c r="Q60" s="80"/>
      <c r="R60" s="80"/>
      <c r="S60" s="5"/>
      <c r="T60" s="5"/>
      <c r="U60" s="5"/>
      <c r="V60" s="5"/>
      <c r="W60" s="5"/>
      <c r="X60" s="2"/>
      <c r="Y60" s="9"/>
    </row>
    <row r="61">
      <c r="A61" s="2"/>
      <c r="B61" s="2">
        <v>5.0</v>
      </c>
      <c r="C61" s="81"/>
      <c r="D61" s="2"/>
      <c r="E61" s="48"/>
      <c r="F61" s="2"/>
      <c r="G61" s="2"/>
      <c r="H61" s="2"/>
      <c r="I61" s="2"/>
      <c r="J61" s="2"/>
      <c r="K61" s="5"/>
      <c r="L61" s="5"/>
      <c r="M61" s="28">
        <f t="shared" si="1"/>
        <v>0</v>
      </c>
      <c r="N61" s="28">
        <f t="shared" si="2"/>
        <v>0</v>
      </c>
      <c r="O61" s="28">
        <f t="shared" si="3"/>
        <v>0</v>
      </c>
      <c r="P61" s="48"/>
      <c r="Q61" s="80"/>
      <c r="R61" s="80"/>
      <c r="S61" s="5"/>
      <c r="T61" s="5"/>
      <c r="U61" s="5"/>
      <c r="V61" s="5"/>
      <c r="W61" s="5"/>
      <c r="X61" s="2"/>
      <c r="Y61" s="9"/>
    </row>
    <row r="62">
      <c r="A62" s="2"/>
      <c r="B62" s="2">
        <v>6.0</v>
      </c>
      <c r="C62" s="81"/>
      <c r="D62" s="2"/>
      <c r="E62" s="48"/>
      <c r="F62" s="2"/>
      <c r="G62" s="2"/>
      <c r="H62" s="2"/>
      <c r="I62" s="2"/>
      <c r="J62" s="2"/>
      <c r="K62" s="5"/>
      <c r="L62" s="5"/>
      <c r="M62" s="28">
        <f t="shared" si="1"/>
        <v>0</v>
      </c>
      <c r="N62" s="28">
        <f t="shared" si="2"/>
        <v>0</v>
      </c>
      <c r="O62" s="28">
        <f t="shared" si="3"/>
        <v>0</v>
      </c>
      <c r="P62" s="48"/>
      <c r="Q62" s="80"/>
      <c r="R62" s="80"/>
      <c r="S62" s="5"/>
      <c r="T62" s="5"/>
      <c r="U62" s="5"/>
      <c r="V62" s="5"/>
      <c r="W62" s="5"/>
      <c r="X62" s="2"/>
      <c r="Y62" s="9"/>
    </row>
    <row r="63">
      <c r="A63" s="2"/>
      <c r="B63" s="2">
        <v>7.0</v>
      </c>
      <c r="C63" s="81"/>
      <c r="D63" s="2"/>
      <c r="E63" s="48"/>
      <c r="F63" s="2"/>
      <c r="G63" s="2"/>
      <c r="H63" s="2"/>
      <c r="I63" s="2"/>
      <c r="J63" s="2"/>
      <c r="K63" s="5"/>
      <c r="L63" s="5"/>
      <c r="M63" s="28">
        <f t="shared" si="1"/>
        <v>0</v>
      </c>
      <c r="N63" s="28">
        <f t="shared" si="2"/>
        <v>0</v>
      </c>
      <c r="O63" s="28">
        <f t="shared" si="3"/>
        <v>0</v>
      </c>
      <c r="P63" s="48"/>
      <c r="Q63" s="80"/>
      <c r="R63" s="80"/>
      <c r="S63" s="5"/>
      <c r="T63" s="5"/>
      <c r="U63" s="5"/>
      <c r="V63" s="5"/>
      <c r="W63" s="5"/>
      <c r="X63" s="2"/>
      <c r="Y63" s="9"/>
    </row>
    <row r="64">
      <c r="A64" s="2"/>
      <c r="B64" s="2">
        <v>8.0</v>
      </c>
      <c r="C64" s="81"/>
      <c r="D64" s="2"/>
      <c r="E64" s="48"/>
      <c r="F64" s="2"/>
      <c r="G64" s="2"/>
      <c r="H64" s="2"/>
      <c r="I64" s="2"/>
      <c r="J64" s="2"/>
      <c r="K64" s="5"/>
      <c r="L64" s="5"/>
      <c r="M64" s="28">
        <f t="shared" si="1"/>
        <v>0</v>
      </c>
      <c r="N64" s="28">
        <f t="shared" si="2"/>
        <v>0</v>
      </c>
      <c r="O64" s="28">
        <f t="shared" si="3"/>
        <v>0</v>
      </c>
      <c r="P64" s="48"/>
      <c r="Q64" s="80"/>
      <c r="R64" s="80"/>
      <c r="S64" s="5"/>
      <c r="T64" s="5"/>
      <c r="U64" s="5"/>
      <c r="V64" s="5"/>
      <c r="W64" s="5"/>
      <c r="X64" s="2"/>
      <c r="Y64" s="9"/>
    </row>
    <row r="65">
      <c r="A65" s="2"/>
      <c r="B65" s="2">
        <v>9.0</v>
      </c>
      <c r="C65" s="81"/>
      <c r="D65" s="2"/>
      <c r="E65" s="48"/>
      <c r="F65" s="2"/>
      <c r="G65" s="2"/>
      <c r="H65" s="2"/>
      <c r="I65" s="2"/>
      <c r="J65" s="2"/>
      <c r="K65" s="5"/>
      <c r="L65" s="5"/>
      <c r="M65" s="28">
        <f t="shared" si="1"/>
        <v>0</v>
      </c>
      <c r="N65" s="28">
        <f t="shared" si="2"/>
        <v>0</v>
      </c>
      <c r="O65" s="28">
        <f t="shared" si="3"/>
        <v>0</v>
      </c>
      <c r="P65" s="48"/>
      <c r="Q65" s="80"/>
      <c r="R65" s="80"/>
      <c r="S65" s="5"/>
      <c r="T65" s="5"/>
      <c r="U65" s="5"/>
      <c r="V65" s="5"/>
      <c r="W65" s="5"/>
      <c r="X65" s="2"/>
      <c r="Y65" s="9"/>
    </row>
  </sheetData>
  <mergeCells count="2">
    <mergeCell ref="D1:L1"/>
    <mergeCell ref="Q1:R1"/>
  </mergeCells>
  <conditionalFormatting sqref="P3:P65">
    <cfRule type="containsText" dxfId="0" priority="1" operator="containsText" text="安">
      <formula>NOT(ISERROR(SEARCH(("安"),(P3))))</formula>
    </cfRule>
  </conditionalFormatting>
  <conditionalFormatting sqref="P3:P65">
    <cfRule type="containsText" dxfId="1" priority="2" operator="containsText" text="滾">
      <formula>NOT(ISERROR(SEARCH(("滾"),(P3))))</formula>
    </cfRule>
  </conditionalFormatting>
  <conditionalFormatting sqref="P3:P65">
    <cfRule type="containsText" dxfId="1" priority="3" operator="containsText" text="飛">
      <formula>NOT(ISERROR(SEARCH(("飛"),(P3))))</formula>
    </cfRule>
  </conditionalFormatting>
  <conditionalFormatting sqref="P3:P65">
    <cfRule type="containsText" dxfId="1" priority="4" operator="containsText" text="三振">
      <formula>NOT(ISERROR(SEARCH(("三振"),(P3))))</formula>
    </cfRule>
  </conditionalFormatting>
  <conditionalFormatting sqref="P3:P65">
    <cfRule type="containsText" dxfId="2" priority="5" operator="containsText" text="觸身">
      <formula>NOT(ISERROR(SEARCH(("觸身"),(P3))))</formula>
    </cfRule>
  </conditionalFormatting>
  <conditionalFormatting sqref="P3:P65">
    <cfRule type="containsText" dxfId="2" priority="6" operator="containsText" text="保送">
      <formula>NOT(ISERROR(SEARCH(("保送"),(P3))))</formula>
    </cfRule>
  </conditionalFormatting>
  <conditionalFormatting sqref="P3:P65">
    <cfRule type="containsText" dxfId="2" priority="7" operator="containsText" text="失誤">
      <formula>NOT(ISERROR(SEARCH(("失誤"),(P3))))</formula>
    </cfRule>
  </conditionalFormatting>
  <conditionalFormatting sqref="P3:P65">
    <cfRule type="containsText" dxfId="0" priority="8" operator="containsText" text="全壘打">
      <formula>NOT(ISERROR(SEARCH(("全壘打"),(P3))))</formula>
    </cfRule>
  </conditionalFormatting>
  <conditionalFormatting sqref="P3:P65">
    <cfRule type="containsText" dxfId="1" priority="9" operator="containsText" text="野選">
      <formula>NOT(ISERROR(SEARCH(("野選"),(P3))))</formula>
    </cfRule>
  </conditionalFormatting>
  <conditionalFormatting sqref="P3:P65">
    <cfRule type="containsText" dxfId="1" priority="10" operator="containsText" text="犧牲">
      <formula>NOT(ISERROR(SEARCH(("犧牲"),(P3))))</formula>
    </cfRule>
  </conditionalFormatting>
  <conditionalFormatting sqref="P3:P65">
    <cfRule type="containsText" dxfId="1" priority="11" operator="containsText" text="雙殺">
      <formula>NOT(ISERROR(SEARCH(("雙殺"),(P3))))</formula>
    </cfRule>
  </conditionalFormatting>
  <dataValidations>
    <dataValidation type="list" allowBlank="1" sqref="D3:L65">
      <formula1>"SS,CS,B,F,IP"</formula1>
    </dataValidation>
    <dataValidation type="list" allowBlank="1" sqref="P3:P65">
      <formula1>"一安,二安,三安,全壘打,內飛,內滾,外飛,雙殺,三振,野選,犧牲,失誤,保送,觸身"</formula1>
    </dataValidation>
    <dataValidation type="list" allowBlank="1" sqref="C3:C65">
      <formula1>'當日比賽統計'!$D$8:$D$20</formula1>
    </dataValidation>
    <dataValidation type="list" allowBlank="1" sqref="S3:S65">
      <formula1>"強,中,弱"</formula1>
    </dataValidation>
    <dataValidation type="list" allowBlank="1" sqref="T3:T65">
      <formula1>"1,2,3,E,2E,3E"</formula1>
    </dataValidation>
    <dataValidation type="list" allowBlank="1" sqref="Q3:Q65">
      <formula1>"1投手,2捕手,3一壘,4二壘,5三壘,6游擊,7左外,8中外,9右外"</formula1>
    </dataValidation>
    <dataValidation type="list" allowBlank="1" sqref="U3:U65">
      <formula1>"1,2,3"</formula1>
    </dataValidation>
    <dataValidation type="list" allowBlank="1" sqref="V3:W65">
      <formula1>"1"</formula1>
    </dataValidation>
    <dataValidation type="list" allowBlank="1" sqref="A3:A65">
      <formula1>"I,II,III,R,L"</formula1>
    </dataValidation>
    <dataValidation type="list" allowBlank="1" sqref="R3:R65">
      <formula1>"G,L,F"</formula1>
    </dataValidation>
    <dataValidation type="list" allowBlank="1" sqref="X3:X65">
      <formula1>"1,2,3,4"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2" width="5.5"/>
    <col customWidth="1" min="3" max="3" width="10.25"/>
    <col customWidth="1" min="4" max="15" width="4.38"/>
    <col customWidth="1" min="16" max="16" width="9.0"/>
    <col customWidth="1" min="17" max="17" width="4.25"/>
    <col customWidth="1" min="18" max="18" width="4.5"/>
    <col customWidth="1" min="19" max="20" width="6.13"/>
    <col customWidth="1" min="21" max="21" width="9.0"/>
    <col customWidth="1" min="22" max="24" width="6.13"/>
    <col customWidth="1" min="25" max="25" width="23.75"/>
  </cols>
  <sheetData>
    <row r="1">
      <c r="A1" s="2" t="s">
        <v>0</v>
      </c>
      <c r="B1" s="2" t="s">
        <v>1</v>
      </c>
      <c r="C1" s="7" t="s">
        <v>2</v>
      </c>
      <c r="D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9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</row>
    <row r="2">
      <c r="A2" s="15" t="s">
        <v>20</v>
      </c>
      <c r="B2" s="2">
        <v>1.0</v>
      </c>
      <c r="C2" s="7" t="s">
        <v>21</v>
      </c>
      <c r="D2" s="2" t="s">
        <v>23</v>
      </c>
      <c r="E2" s="2" t="s">
        <v>25</v>
      </c>
      <c r="F2" s="2" t="s">
        <v>18</v>
      </c>
      <c r="G2" s="2" t="s">
        <v>22</v>
      </c>
      <c r="H2" s="2" t="s">
        <v>26</v>
      </c>
      <c r="I2" s="2"/>
      <c r="J2" s="2"/>
      <c r="K2" s="2"/>
      <c r="L2" s="5"/>
      <c r="M2" s="2">
        <f t="shared" ref="M2:M83" si="1">countif(D2:L2,"=S")+countif(D2:L2,"=SS")+countif(D2:L2,"=CS")+countif(D2:L2,"=IP")</f>
        <v>3</v>
      </c>
      <c r="N2" s="2">
        <f t="shared" ref="N2:N83" si="2">countif(D2:L2,"=F")</f>
        <v>1</v>
      </c>
      <c r="O2" s="2">
        <f t="shared" ref="O2:O83" si="3">countif(D2:L2,"=B")</f>
        <v>1</v>
      </c>
      <c r="P2" s="22" t="s">
        <v>32</v>
      </c>
      <c r="Q2" s="2">
        <v>4.0</v>
      </c>
      <c r="R2" s="2" t="s">
        <v>68</v>
      </c>
      <c r="S2" s="2" t="s">
        <v>69</v>
      </c>
      <c r="T2" s="2">
        <v>1.0</v>
      </c>
      <c r="U2" s="2"/>
      <c r="V2" s="2">
        <v>0.0</v>
      </c>
      <c r="W2" s="2">
        <v>0.0</v>
      </c>
      <c r="X2" s="2">
        <v>1.0</v>
      </c>
      <c r="Y2" s="2"/>
    </row>
    <row r="3">
      <c r="A3" s="2" t="s">
        <v>73</v>
      </c>
      <c r="B3" s="2">
        <v>1.0</v>
      </c>
      <c r="C3" s="46" t="s">
        <v>74</v>
      </c>
      <c r="D3" s="2" t="s">
        <v>23</v>
      </c>
      <c r="E3" s="2" t="s">
        <v>26</v>
      </c>
      <c r="F3" s="2"/>
      <c r="G3" s="2"/>
      <c r="H3" s="2"/>
      <c r="I3" s="2"/>
      <c r="J3" s="2"/>
      <c r="K3" s="2"/>
      <c r="L3" s="2"/>
      <c r="M3" s="28">
        <f t="shared" si="1"/>
        <v>1</v>
      </c>
      <c r="N3" s="28">
        <f t="shared" si="2"/>
        <v>0</v>
      </c>
      <c r="O3" s="28">
        <f t="shared" si="3"/>
        <v>1</v>
      </c>
      <c r="P3" s="48" t="s">
        <v>42</v>
      </c>
      <c r="Q3" s="9" t="s">
        <v>75</v>
      </c>
      <c r="R3" s="9" t="s">
        <v>68</v>
      </c>
      <c r="S3" s="2" t="s">
        <v>76</v>
      </c>
      <c r="T3" s="2"/>
      <c r="U3" s="2">
        <v>1.0</v>
      </c>
      <c r="V3" s="2"/>
      <c r="W3" s="2">
        <v>1.0</v>
      </c>
      <c r="X3" s="2"/>
      <c r="Y3" s="2"/>
    </row>
    <row r="4">
      <c r="A4" s="2" t="s">
        <v>81</v>
      </c>
      <c r="B4" s="2">
        <v>2.0</v>
      </c>
      <c r="C4" s="46" t="s">
        <v>74</v>
      </c>
      <c r="D4" s="2" t="s">
        <v>23</v>
      </c>
      <c r="E4" s="2" t="s">
        <v>23</v>
      </c>
      <c r="F4" s="2" t="s">
        <v>25</v>
      </c>
      <c r="G4" s="2" t="s">
        <v>22</v>
      </c>
      <c r="H4" s="2" t="s">
        <v>23</v>
      </c>
      <c r="I4" s="48" t="s">
        <v>26</v>
      </c>
      <c r="J4" s="2"/>
      <c r="K4" s="5"/>
      <c r="L4" s="5"/>
      <c r="M4" s="28">
        <f t="shared" si="1"/>
        <v>2</v>
      </c>
      <c r="N4" s="28">
        <f t="shared" si="2"/>
        <v>1</v>
      </c>
      <c r="O4" s="28">
        <f t="shared" si="3"/>
        <v>3</v>
      </c>
      <c r="P4" s="48" t="s">
        <v>42</v>
      </c>
      <c r="Q4" s="9" t="s">
        <v>86</v>
      </c>
      <c r="R4" s="9" t="s">
        <v>68</v>
      </c>
      <c r="S4" s="2" t="s">
        <v>69</v>
      </c>
      <c r="T4" s="2">
        <v>1.0</v>
      </c>
      <c r="U4" s="2"/>
      <c r="V4" s="2"/>
      <c r="W4" s="2"/>
      <c r="X4" s="2">
        <v>1.0</v>
      </c>
      <c r="Y4" s="57"/>
    </row>
    <row r="5">
      <c r="A5" s="2" t="s">
        <v>87</v>
      </c>
      <c r="B5" s="2">
        <v>3.0</v>
      </c>
      <c r="C5" s="46" t="s">
        <v>74</v>
      </c>
      <c r="D5" s="2" t="s">
        <v>23</v>
      </c>
      <c r="E5" s="2" t="s">
        <v>22</v>
      </c>
      <c r="F5" s="2" t="s">
        <v>26</v>
      </c>
      <c r="G5" s="2"/>
      <c r="H5" s="2"/>
      <c r="I5" s="2"/>
      <c r="J5" s="2"/>
      <c r="K5" s="2"/>
      <c r="L5" s="5"/>
      <c r="M5" s="28">
        <f t="shared" si="1"/>
        <v>2</v>
      </c>
      <c r="N5" s="28">
        <f t="shared" si="2"/>
        <v>0</v>
      </c>
      <c r="O5" s="28">
        <f t="shared" si="3"/>
        <v>1</v>
      </c>
      <c r="P5" s="48" t="s">
        <v>42</v>
      </c>
      <c r="Q5" s="9" t="s">
        <v>88</v>
      </c>
      <c r="R5" s="9" t="s">
        <v>81</v>
      </c>
      <c r="S5" s="2" t="s">
        <v>69</v>
      </c>
      <c r="T5" s="2"/>
      <c r="U5" s="2"/>
      <c r="V5" s="2">
        <v>1.0</v>
      </c>
      <c r="W5" s="2"/>
      <c r="X5" s="2"/>
      <c r="Y5" s="2" t="s">
        <v>89</v>
      </c>
    </row>
    <row r="6">
      <c r="A6" s="2" t="s">
        <v>20</v>
      </c>
      <c r="B6" s="2">
        <v>4.0</v>
      </c>
      <c r="C6" s="46" t="s">
        <v>74</v>
      </c>
      <c r="D6" s="2" t="s">
        <v>18</v>
      </c>
      <c r="E6" s="2" t="s">
        <v>25</v>
      </c>
      <c r="F6" s="2" t="s">
        <v>26</v>
      </c>
      <c r="G6" s="2"/>
      <c r="H6" s="2"/>
      <c r="I6" s="2"/>
      <c r="J6" s="2"/>
      <c r="K6" s="2"/>
      <c r="L6" s="2"/>
      <c r="M6" s="28">
        <f t="shared" si="1"/>
        <v>2</v>
      </c>
      <c r="N6" s="28">
        <f t="shared" si="2"/>
        <v>1</v>
      </c>
      <c r="O6" s="28">
        <f t="shared" si="3"/>
        <v>0</v>
      </c>
      <c r="P6" s="48" t="s">
        <v>37</v>
      </c>
      <c r="Q6" s="9" t="s">
        <v>91</v>
      </c>
      <c r="R6" s="9" t="s">
        <v>25</v>
      </c>
      <c r="S6" s="2" t="s">
        <v>90</v>
      </c>
      <c r="T6" s="2"/>
      <c r="U6" s="2"/>
      <c r="V6" s="2"/>
      <c r="W6" s="2"/>
      <c r="X6" s="2"/>
      <c r="Y6" s="2"/>
    </row>
    <row r="7">
      <c r="A7" s="2" t="s">
        <v>92</v>
      </c>
      <c r="B7" s="2">
        <v>5.0</v>
      </c>
      <c r="C7" s="46" t="s">
        <v>74</v>
      </c>
      <c r="D7" s="2" t="s">
        <v>25</v>
      </c>
      <c r="E7" s="2" t="s">
        <v>18</v>
      </c>
      <c r="F7" s="2" t="s">
        <v>23</v>
      </c>
      <c r="G7" s="2" t="s">
        <v>23</v>
      </c>
      <c r="H7" s="2" t="s">
        <v>23</v>
      </c>
      <c r="I7" s="2" t="s">
        <v>25</v>
      </c>
      <c r="J7" s="2" t="s">
        <v>18</v>
      </c>
      <c r="K7" s="5"/>
      <c r="L7" s="5"/>
      <c r="M7" s="28">
        <f t="shared" si="1"/>
        <v>2</v>
      </c>
      <c r="N7" s="28">
        <f t="shared" si="2"/>
        <v>2</v>
      </c>
      <c r="O7" s="28">
        <f t="shared" si="3"/>
        <v>3</v>
      </c>
      <c r="P7" s="48" t="s">
        <v>38</v>
      </c>
      <c r="Q7" s="9"/>
      <c r="R7" s="9"/>
      <c r="S7" s="2"/>
      <c r="T7" s="2"/>
      <c r="U7" s="2"/>
      <c r="V7" s="2"/>
      <c r="W7" s="2"/>
      <c r="X7" s="2"/>
      <c r="Y7" s="2"/>
    </row>
    <row r="8">
      <c r="A8" s="2" t="s">
        <v>20</v>
      </c>
      <c r="B8" s="2">
        <v>6.0</v>
      </c>
      <c r="C8" s="46" t="s">
        <v>74</v>
      </c>
      <c r="D8" s="48" t="s">
        <v>18</v>
      </c>
      <c r="E8" s="48" t="s">
        <v>26</v>
      </c>
      <c r="F8" s="48"/>
      <c r="G8" s="48"/>
      <c r="H8" s="2"/>
      <c r="I8" s="2"/>
      <c r="J8" s="2"/>
      <c r="K8" s="2"/>
      <c r="L8" s="5"/>
      <c r="M8" s="28">
        <f t="shared" si="1"/>
        <v>2</v>
      </c>
      <c r="N8" s="28">
        <f t="shared" si="2"/>
        <v>0</v>
      </c>
      <c r="O8" s="28">
        <f t="shared" si="3"/>
        <v>0</v>
      </c>
      <c r="P8" s="48" t="s">
        <v>32</v>
      </c>
      <c r="Q8" s="9" t="s">
        <v>82</v>
      </c>
      <c r="R8" s="9" t="s">
        <v>68</v>
      </c>
      <c r="S8" s="2" t="s">
        <v>76</v>
      </c>
      <c r="T8" s="2"/>
      <c r="U8" s="2"/>
      <c r="V8" s="2"/>
      <c r="W8" s="2"/>
      <c r="X8" s="2"/>
      <c r="Y8" s="2"/>
    </row>
    <row r="9">
      <c r="A9" s="2" t="s">
        <v>87</v>
      </c>
      <c r="B9" s="2">
        <v>7.0</v>
      </c>
      <c r="C9" s="46" t="s">
        <v>74</v>
      </c>
      <c r="D9" s="48" t="s">
        <v>23</v>
      </c>
      <c r="E9" s="48" t="s">
        <v>18</v>
      </c>
      <c r="F9" s="2" t="s">
        <v>26</v>
      </c>
      <c r="G9" s="2"/>
      <c r="H9" s="2"/>
      <c r="I9" s="2"/>
      <c r="J9" s="2"/>
      <c r="K9" s="2"/>
      <c r="L9" s="2"/>
      <c r="M9" s="28">
        <f t="shared" si="1"/>
        <v>2</v>
      </c>
      <c r="N9" s="28">
        <f t="shared" si="2"/>
        <v>0</v>
      </c>
      <c r="O9" s="28">
        <f t="shared" si="3"/>
        <v>1</v>
      </c>
      <c r="P9" s="48" t="s">
        <v>37</v>
      </c>
      <c r="Q9" s="9" t="s">
        <v>109</v>
      </c>
      <c r="R9" s="9" t="s">
        <v>81</v>
      </c>
      <c r="S9" s="2" t="s">
        <v>90</v>
      </c>
      <c r="T9" s="2"/>
      <c r="U9" s="2"/>
      <c r="V9" s="2"/>
      <c r="W9" s="2"/>
      <c r="X9" s="2"/>
      <c r="Y9" s="5"/>
    </row>
    <row r="10">
      <c r="A10" s="2" t="s">
        <v>92</v>
      </c>
      <c r="B10" s="2">
        <v>8.0</v>
      </c>
      <c r="C10" s="46" t="s">
        <v>74</v>
      </c>
      <c r="D10" s="48" t="s">
        <v>18</v>
      </c>
      <c r="E10" s="2" t="s">
        <v>23</v>
      </c>
      <c r="F10" s="2" t="s">
        <v>25</v>
      </c>
      <c r="G10" s="2" t="s">
        <v>18</v>
      </c>
      <c r="H10" s="2"/>
      <c r="I10" s="2"/>
      <c r="J10" s="2"/>
      <c r="K10" s="5"/>
      <c r="L10" s="5"/>
      <c r="M10" s="28">
        <f t="shared" si="1"/>
        <v>2</v>
      </c>
      <c r="N10" s="28">
        <f t="shared" si="2"/>
        <v>1</v>
      </c>
      <c r="O10" s="28">
        <f t="shared" si="3"/>
        <v>1</v>
      </c>
      <c r="P10" s="48" t="s">
        <v>38</v>
      </c>
      <c r="Q10" s="9"/>
      <c r="R10" s="9"/>
      <c r="S10" s="2"/>
      <c r="T10" s="2"/>
      <c r="U10" s="2"/>
      <c r="V10" s="2"/>
      <c r="W10" s="2"/>
      <c r="X10" s="2"/>
      <c r="Y10" s="2"/>
    </row>
    <row r="11">
      <c r="A11" s="2" t="s">
        <v>20</v>
      </c>
      <c r="B11" s="2">
        <v>9.0</v>
      </c>
      <c r="C11" s="46" t="s">
        <v>74</v>
      </c>
      <c r="D11" s="2" t="s">
        <v>22</v>
      </c>
      <c r="E11" s="48" t="s">
        <v>23</v>
      </c>
      <c r="F11" s="2" t="s">
        <v>22</v>
      </c>
      <c r="G11" s="2" t="s">
        <v>22</v>
      </c>
      <c r="H11" s="2"/>
      <c r="I11" s="2"/>
      <c r="J11" s="2"/>
      <c r="K11" s="5"/>
      <c r="L11" s="2"/>
      <c r="M11" s="28">
        <f t="shared" si="1"/>
        <v>3</v>
      </c>
      <c r="N11" s="28">
        <f t="shared" si="2"/>
        <v>0</v>
      </c>
      <c r="O11" s="28">
        <f t="shared" si="3"/>
        <v>1</v>
      </c>
      <c r="P11" s="48" t="s">
        <v>38</v>
      </c>
      <c r="Q11" s="9"/>
      <c r="R11" s="9"/>
      <c r="S11" s="2"/>
      <c r="T11" s="2"/>
      <c r="U11" s="2"/>
      <c r="V11" s="2"/>
      <c r="W11" s="2"/>
      <c r="X11" s="2"/>
      <c r="Y11" s="2"/>
    </row>
    <row r="12">
      <c r="A12" s="2" t="s">
        <v>81</v>
      </c>
      <c r="B12" s="2">
        <v>1.0</v>
      </c>
      <c r="C12" s="46" t="s">
        <v>74</v>
      </c>
      <c r="D12" s="2" t="s">
        <v>23</v>
      </c>
      <c r="E12" s="48" t="s">
        <v>23</v>
      </c>
      <c r="F12" s="2" t="s">
        <v>23</v>
      </c>
      <c r="G12" s="2" t="s">
        <v>25</v>
      </c>
      <c r="H12" s="2" t="s">
        <v>18</v>
      </c>
      <c r="I12" s="2" t="s">
        <v>25</v>
      </c>
      <c r="J12" s="2" t="s">
        <v>23</v>
      </c>
      <c r="K12" s="5"/>
      <c r="L12" s="5"/>
      <c r="M12" s="28">
        <f t="shared" si="1"/>
        <v>1</v>
      </c>
      <c r="N12" s="28">
        <f t="shared" si="2"/>
        <v>2</v>
      </c>
      <c r="O12" s="28">
        <f t="shared" si="3"/>
        <v>4</v>
      </c>
      <c r="P12" s="48" t="s">
        <v>50</v>
      </c>
      <c r="Q12" s="9"/>
      <c r="R12" s="9"/>
      <c r="S12" s="2"/>
      <c r="T12" s="2"/>
      <c r="U12" s="2"/>
      <c r="V12" s="2"/>
      <c r="W12" s="2"/>
      <c r="X12" s="2"/>
      <c r="Y12" s="2"/>
    </row>
    <row r="13">
      <c r="A13" s="2" t="s">
        <v>87</v>
      </c>
      <c r="B13" s="2">
        <v>2.0</v>
      </c>
      <c r="C13" s="46" t="s">
        <v>74</v>
      </c>
      <c r="D13" s="2" t="s">
        <v>26</v>
      </c>
      <c r="E13" s="2"/>
      <c r="F13" s="2"/>
      <c r="G13" s="2"/>
      <c r="H13" s="2"/>
      <c r="I13" s="2"/>
      <c r="J13" s="2"/>
      <c r="K13" s="2"/>
      <c r="L13" s="2"/>
      <c r="M13" s="28">
        <f t="shared" si="1"/>
        <v>1</v>
      </c>
      <c r="N13" s="28">
        <f t="shared" si="2"/>
        <v>0</v>
      </c>
      <c r="O13" s="28">
        <f t="shared" si="3"/>
        <v>0</v>
      </c>
      <c r="P13" s="48" t="s">
        <v>37</v>
      </c>
      <c r="Q13" s="9" t="s">
        <v>86</v>
      </c>
      <c r="R13" s="9" t="s">
        <v>25</v>
      </c>
      <c r="S13" s="2" t="s">
        <v>90</v>
      </c>
      <c r="T13" s="2"/>
      <c r="U13" s="2"/>
      <c r="V13" s="2"/>
      <c r="W13" s="2"/>
      <c r="X13" s="2"/>
      <c r="Y13" s="2"/>
    </row>
    <row r="14">
      <c r="A14" s="2" t="s">
        <v>92</v>
      </c>
      <c r="B14" s="2">
        <v>3.0</v>
      </c>
      <c r="C14" s="46" t="s">
        <v>74</v>
      </c>
      <c r="D14" s="2" t="s">
        <v>22</v>
      </c>
      <c r="E14" s="48" t="s">
        <v>23</v>
      </c>
      <c r="F14" s="2"/>
      <c r="G14" s="2"/>
      <c r="H14" s="2"/>
      <c r="I14" s="2"/>
      <c r="J14" s="2"/>
      <c r="K14" s="2"/>
      <c r="L14" s="5"/>
      <c r="M14" s="28">
        <f t="shared" si="1"/>
        <v>1</v>
      </c>
      <c r="N14" s="28">
        <f t="shared" si="2"/>
        <v>0</v>
      </c>
      <c r="O14" s="28">
        <f t="shared" si="3"/>
        <v>1</v>
      </c>
      <c r="P14" s="48" t="s">
        <v>37</v>
      </c>
      <c r="Q14" s="9" t="s">
        <v>88</v>
      </c>
      <c r="R14" s="9" t="s">
        <v>25</v>
      </c>
      <c r="S14" s="2" t="s">
        <v>90</v>
      </c>
      <c r="T14" s="2"/>
      <c r="U14" s="2"/>
      <c r="V14" s="2"/>
      <c r="W14" s="2"/>
      <c r="X14" s="2"/>
      <c r="Y14" s="2"/>
    </row>
    <row r="15">
      <c r="A15" s="2" t="s">
        <v>20</v>
      </c>
      <c r="B15" s="2">
        <v>4.0</v>
      </c>
      <c r="C15" s="46" t="s">
        <v>74</v>
      </c>
      <c r="D15" s="2" t="s">
        <v>26</v>
      </c>
      <c r="E15" s="2"/>
      <c r="F15" s="2"/>
      <c r="G15" s="2"/>
      <c r="H15" s="2"/>
      <c r="I15" s="2"/>
      <c r="J15" s="5"/>
      <c r="K15" s="5"/>
      <c r="L15" s="5"/>
      <c r="M15" s="28">
        <f t="shared" si="1"/>
        <v>1</v>
      </c>
      <c r="N15" s="28">
        <f t="shared" si="2"/>
        <v>0</v>
      </c>
      <c r="O15" s="28">
        <f t="shared" si="3"/>
        <v>0</v>
      </c>
      <c r="P15" s="48" t="s">
        <v>37</v>
      </c>
      <c r="Q15" s="9" t="s">
        <v>86</v>
      </c>
      <c r="R15" s="9" t="s">
        <v>25</v>
      </c>
      <c r="S15" s="2" t="s">
        <v>90</v>
      </c>
      <c r="T15" s="2"/>
      <c r="U15" s="2"/>
      <c r="V15" s="2"/>
      <c r="W15" s="2"/>
      <c r="X15" s="2"/>
      <c r="Y15" s="2"/>
    </row>
    <row r="16">
      <c r="A16" s="2" t="s">
        <v>87</v>
      </c>
      <c r="B16" s="2">
        <v>5.0</v>
      </c>
      <c r="C16" s="46" t="s">
        <v>74</v>
      </c>
      <c r="D16" s="48" t="s">
        <v>25</v>
      </c>
      <c r="E16" s="48" t="s">
        <v>23</v>
      </c>
      <c r="F16" s="48" t="s">
        <v>23</v>
      </c>
      <c r="G16" s="48" t="s">
        <v>22</v>
      </c>
      <c r="H16" s="73"/>
      <c r="I16" s="2"/>
      <c r="J16" s="2"/>
      <c r="K16" s="5"/>
      <c r="L16" s="5"/>
      <c r="M16" s="28">
        <f t="shared" si="1"/>
        <v>1</v>
      </c>
      <c r="N16" s="28">
        <f t="shared" si="2"/>
        <v>1</v>
      </c>
      <c r="O16" s="28">
        <f t="shared" si="3"/>
        <v>2</v>
      </c>
      <c r="P16" s="48" t="s">
        <v>32</v>
      </c>
      <c r="Q16" s="9" t="s">
        <v>82</v>
      </c>
      <c r="R16" s="9" t="s">
        <v>68</v>
      </c>
      <c r="S16" s="2" t="s">
        <v>90</v>
      </c>
      <c r="T16" s="5"/>
      <c r="U16" s="5"/>
      <c r="V16" s="5"/>
      <c r="W16" s="48"/>
      <c r="X16" s="2"/>
      <c r="Y16" s="2"/>
    </row>
    <row r="17">
      <c r="A17" s="2" t="s">
        <v>81</v>
      </c>
      <c r="B17" s="2">
        <v>6.0</v>
      </c>
      <c r="C17" s="46" t="s">
        <v>74</v>
      </c>
      <c r="D17" s="48" t="s">
        <v>23</v>
      </c>
      <c r="E17" s="48" t="s">
        <v>23</v>
      </c>
      <c r="F17" s="48" t="s">
        <v>25</v>
      </c>
      <c r="G17" s="48" t="s">
        <v>26</v>
      </c>
      <c r="H17" s="48"/>
      <c r="I17" s="2"/>
      <c r="J17" s="2"/>
      <c r="K17" s="5"/>
      <c r="L17" s="5"/>
      <c r="M17" s="28">
        <f t="shared" si="1"/>
        <v>1</v>
      </c>
      <c r="N17" s="28">
        <f t="shared" si="2"/>
        <v>1</v>
      </c>
      <c r="O17" s="28">
        <f t="shared" si="3"/>
        <v>2</v>
      </c>
      <c r="P17" s="48" t="s">
        <v>42</v>
      </c>
      <c r="Q17" s="9" t="s">
        <v>86</v>
      </c>
      <c r="R17" s="9" t="s">
        <v>25</v>
      </c>
      <c r="S17" s="2" t="s">
        <v>90</v>
      </c>
      <c r="T17" s="2"/>
      <c r="U17" s="2"/>
      <c r="V17" s="2"/>
      <c r="W17" s="2"/>
      <c r="X17" s="2"/>
      <c r="Y17" s="2"/>
    </row>
    <row r="18">
      <c r="A18" s="2" t="s">
        <v>92</v>
      </c>
      <c r="B18" s="2">
        <v>7.0</v>
      </c>
      <c r="C18" s="46" t="s">
        <v>74</v>
      </c>
      <c r="D18" s="2" t="s">
        <v>18</v>
      </c>
      <c r="E18" s="2" t="s">
        <v>22</v>
      </c>
      <c r="F18" s="2" t="s">
        <v>18</v>
      </c>
      <c r="G18" s="2"/>
      <c r="H18" s="2"/>
      <c r="I18" s="2"/>
      <c r="J18" s="77"/>
      <c r="K18" s="5"/>
      <c r="L18" s="5"/>
      <c r="M18" s="28">
        <f t="shared" si="1"/>
        <v>3</v>
      </c>
      <c r="N18" s="28">
        <f t="shared" si="2"/>
        <v>0</v>
      </c>
      <c r="O18" s="28">
        <f t="shared" si="3"/>
        <v>0</v>
      </c>
      <c r="P18" s="48" t="s">
        <v>38</v>
      </c>
      <c r="Q18" s="9"/>
      <c r="R18" s="9"/>
      <c r="S18" s="2"/>
      <c r="T18" s="2"/>
      <c r="U18" s="2"/>
      <c r="V18" s="2"/>
      <c r="W18" s="2"/>
      <c r="X18" s="2"/>
      <c r="Y18" s="2"/>
    </row>
    <row r="19">
      <c r="A19" s="2" t="s">
        <v>20</v>
      </c>
      <c r="B19" s="2">
        <v>8.0</v>
      </c>
      <c r="C19" s="46" t="s">
        <v>74</v>
      </c>
      <c r="D19" s="2" t="s">
        <v>23</v>
      </c>
      <c r="E19" s="48" t="s">
        <v>23</v>
      </c>
      <c r="F19" s="2" t="s">
        <v>23</v>
      </c>
      <c r="G19" s="2" t="s">
        <v>22</v>
      </c>
      <c r="H19" s="2" t="s">
        <v>26</v>
      </c>
      <c r="I19" s="2"/>
      <c r="J19" s="2"/>
      <c r="K19" s="2"/>
      <c r="L19" s="5"/>
      <c r="M19" s="28">
        <f t="shared" si="1"/>
        <v>2</v>
      </c>
      <c r="N19" s="28">
        <f t="shared" si="2"/>
        <v>0</v>
      </c>
      <c r="O19" s="28">
        <f t="shared" si="3"/>
        <v>3</v>
      </c>
      <c r="P19" s="48" t="s">
        <v>32</v>
      </c>
      <c r="Q19" s="9" t="s">
        <v>120</v>
      </c>
      <c r="R19" s="9" t="s">
        <v>68</v>
      </c>
      <c r="S19" s="2" t="s">
        <v>76</v>
      </c>
      <c r="T19" s="2"/>
      <c r="U19" s="2"/>
      <c r="V19" s="2"/>
      <c r="W19" s="2"/>
      <c r="X19" s="2"/>
      <c r="Y19" s="2"/>
    </row>
    <row r="20">
      <c r="A20" s="2" t="s">
        <v>87</v>
      </c>
      <c r="B20" s="2">
        <v>9.0</v>
      </c>
      <c r="C20" s="46" t="s">
        <v>74</v>
      </c>
      <c r="D20" s="2" t="s">
        <v>18</v>
      </c>
      <c r="E20" s="48" t="s">
        <v>22</v>
      </c>
      <c r="F20" s="2" t="s">
        <v>25</v>
      </c>
      <c r="G20" s="2" t="s">
        <v>23</v>
      </c>
      <c r="H20" s="2" t="s">
        <v>26</v>
      </c>
      <c r="I20" s="2"/>
      <c r="J20" s="2"/>
      <c r="K20" s="5"/>
      <c r="L20" s="5"/>
      <c r="M20" s="28">
        <f t="shared" si="1"/>
        <v>3</v>
      </c>
      <c r="N20" s="28">
        <f t="shared" si="2"/>
        <v>1</v>
      </c>
      <c r="O20" s="28">
        <f t="shared" si="3"/>
        <v>1</v>
      </c>
      <c r="P20" s="48" t="s">
        <v>35</v>
      </c>
      <c r="Q20" s="9" t="s">
        <v>109</v>
      </c>
      <c r="R20" s="9" t="s">
        <v>68</v>
      </c>
      <c r="S20" s="2" t="s">
        <v>90</v>
      </c>
      <c r="T20" s="2"/>
      <c r="U20" s="5"/>
      <c r="V20" s="5"/>
      <c r="W20" s="2"/>
      <c r="X20" s="2"/>
      <c r="Y20" s="2"/>
    </row>
    <row r="21">
      <c r="A21" s="2" t="s">
        <v>73</v>
      </c>
      <c r="B21" s="2">
        <v>1.0</v>
      </c>
      <c r="C21" s="46" t="s">
        <v>74</v>
      </c>
      <c r="D21" s="2" t="s">
        <v>23</v>
      </c>
      <c r="E21" s="2" t="s">
        <v>23</v>
      </c>
      <c r="F21" s="2" t="s">
        <v>18</v>
      </c>
      <c r="G21" s="2" t="s">
        <v>25</v>
      </c>
      <c r="H21" s="2" t="s">
        <v>23</v>
      </c>
      <c r="I21" s="2" t="s">
        <v>23</v>
      </c>
      <c r="J21" s="2"/>
      <c r="K21" s="2"/>
      <c r="L21" s="2"/>
      <c r="M21" s="28">
        <f t="shared" si="1"/>
        <v>1</v>
      </c>
      <c r="N21" s="28">
        <f t="shared" si="2"/>
        <v>1</v>
      </c>
      <c r="O21" s="28">
        <f t="shared" si="3"/>
        <v>4</v>
      </c>
      <c r="P21" s="48" t="s">
        <v>50</v>
      </c>
      <c r="Q21" s="9"/>
      <c r="R21" s="9"/>
      <c r="S21" s="2"/>
      <c r="T21" s="2">
        <v>1.0</v>
      </c>
      <c r="U21" s="2"/>
      <c r="V21" s="2"/>
      <c r="W21" s="2">
        <v>1.0</v>
      </c>
      <c r="X21" s="2"/>
      <c r="Y21" s="2"/>
    </row>
    <row r="22">
      <c r="A22" s="2" t="s">
        <v>81</v>
      </c>
      <c r="B22" s="2">
        <v>2.0</v>
      </c>
      <c r="C22" s="46" t="s">
        <v>121</v>
      </c>
      <c r="D22" s="2" t="s">
        <v>23</v>
      </c>
      <c r="E22" s="2" t="s">
        <v>26</v>
      </c>
      <c r="F22" s="2"/>
      <c r="G22" s="2"/>
      <c r="H22" s="2"/>
      <c r="I22" s="2"/>
      <c r="J22" s="2"/>
      <c r="K22" s="5"/>
      <c r="L22" s="5"/>
      <c r="M22" s="28">
        <f t="shared" si="1"/>
        <v>1</v>
      </c>
      <c r="N22" s="28">
        <f t="shared" si="2"/>
        <v>0</v>
      </c>
      <c r="O22" s="28">
        <f t="shared" si="3"/>
        <v>1</v>
      </c>
      <c r="P22" s="48" t="s">
        <v>44</v>
      </c>
      <c r="Q22" s="9" t="s">
        <v>82</v>
      </c>
      <c r="R22" s="9" t="s">
        <v>68</v>
      </c>
      <c r="S22" s="2" t="s">
        <v>69</v>
      </c>
      <c r="T22" s="2"/>
      <c r="U22" s="2">
        <v>1.0</v>
      </c>
      <c r="V22" s="2"/>
      <c r="W22" s="5"/>
      <c r="X22" s="2">
        <v>1.0</v>
      </c>
      <c r="Y22" s="2"/>
    </row>
    <row r="23">
      <c r="A23" s="2" t="s">
        <v>81</v>
      </c>
      <c r="B23" s="2">
        <v>3.0</v>
      </c>
      <c r="C23" s="46" t="s">
        <v>121</v>
      </c>
      <c r="D23" s="2" t="s">
        <v>23</v>
      </c>
      <c r="E23" s="48" t="s">
        <v>23</v>
      </c>
      <c r="F23" s="2" t="s">
        <v>23</v>
      </c>
      <c r="G23" s="2" t="s">
        <v>23</v>
      </c>
      <c r="H23" s="2"/>
      <c r="I23" s="2"/>
      <c r="J23" s="2"/>
      <c r="K23" s="2"/>
      <c r="L23" s="2"/>
      <c r="M23" s="28">
        <f t="shared" si="1"/>
        <v>0</v>
      </c>
      <c r="N23" s="28">
        <f t="shared" si="2"/>
        <v>0</v>
      </c>
      <c r="O23" s="28">
        <f t="shared" si="3"/>
        <v>4</v>
      </c>
      <c r="P23" s="48" t="s">
        <v>50</v>
      </c>
      <c r="Q23" s="9"/>
      <c r="R23" s="9"/>
      <c r="S23" s="2"/>
      <c r="T23" s="2"/>
      <c r="U23" s="2"/>
      <c r="V23" s="2"/>
      <c r="W23" s="2"/>
      <c r="X23" s="2"/>
      <c r="Y23" s="2"/>
    </row>
    <row r="24">
      <c r="A24" s="2" t="s">
        <v>92</v>
      </c>
      <c r="B24" s="2">
        <v>4.0</v>
      </c>
      <c r="C24" s="46" t="s">
        <v>121</v>
      </c>
      <c r="D24" s="48" t="s">
        <v>23</v>
      </c>
      <c r="E24" s="48" t="s">
        <v>26</v>
      </c>
      <c r="F24" s="48"/>
      <c r="G24" s="48"/>
      <c r="H24" s="2"/>
      <c r="I24" s="2"/>
      <c r="J24" s="5"/>
      <c r="K24" s="5"/>
      <c r="L24" s="5"/>
      <c r="M24" s="28">
        <f t="shared" si="1"/>
        <v>1</v>
      </c>
      <c r="N24" s="28">
        <f t="shared" si="2"/>
        <v>0</v>
      </c>
      <c r="O24" s="28">
        <f t="shared" si="3"/>
        <v>1</v>
      </c>
      <c r="P24" s="48" t="s">
        <v>32</v>
      </c>
      <c r="Q24" s="9" t="s">
        <v>128</v>
      </c>
      <c r="R24" s="9" t="s">
        <v>68</v>
      </c>
      <c r="S24" s="78" t="s">
        <v>90</v>
      </c>
      <c r="T24" s="2"/>
      <c r="U24" s="2"/>
      <c r="V24" s="2"/>
      <c r="W24" s="2"/>
      <c r="X24" s="2"/>
      <c r="Y24" s="9"/>
    </row>
    <row r="25">
      <c r="A25" s="2" t="s">
        <v>20</v>
      </c>
      <c r="B25" s="2">
        <v>5.0</v>
      </c>
      <c r="C25" s="46" t="s">
        <v>121</v>
      </c>
      <c r="D25" s="48" t="s">
        <v>23</v>
      </c>
      <c r="E25" s="48" t="s">
        <v>25</v>
      </c>
      <c r="F25" s="48" t="s">
        <v>25</v>
      </c>
      <c r="G25" s="48" t="s">
        <v>25</v>
      </c>
      <c r="H25" s="73" t="s">
        <v>23</v>
      </c>
      <c r="I25" s="2" t="s">
        <v>23</v>
      </c>
      <c r="J25" s="2" t="s">
        <v>25</v>
      </c>
      <c r="K25" s="2" t="s">
        <v>22</v>
      </c>
      <c r="L25" s="5"/>
      <c r="M25" s="28">
        <f t="shared" si="1"/>
        <v>1</v>
      </c>
      <c r="N25" s="28">
        <f t="shared" si="2"/>
        <v>4</v>
      </c>
      <c r="O25" s="28">
        <f t="shared" si="3"/>
        <v>3</v>
      </c>
      <c r="P25" s="48" t="s">
        <v>38</v>
      </c>
      <c r="Q25" s="9"/>
      <c r="R25" s="9"/>
      <c r="S25" s="78"/>
      <c r="T25" s="2"/>
      <c r="U25" s="2"/>
      <c r="V25" s="2"/>
      <c r="W25" s="2"/>
      <c r="X25" s="2"/>
      <c r="Y25" s="9"/>
    </row>
    <row r="26">
      <c r="A26" s="2" t="s">
        <v>87</v>
      </c>
      <c r="B26" s="2">
        <v>6.0</v>
      </c>
      <c r="C26" s="46" t="s">
        <v>121</v>
      </c>
      <c r="D26" s="48" t="s">
        <v>23</v>
      </c>
      <c r="E26" s="48" t="s">
        <v>23</v>
      </c>
      <c r="F26" s="48" t="s">
        <v>26</v>
      </c>
      <c r="G26" s="48"/>
      <c r="H26" s="48"/>
      <c r="I26" s="2"/>
      <c r="J26" s="2"/>
      <c r="K26" s="5"/>
      <c r="L26" s="5"/>
      <c r="M26" s="28">
        <f t="shared" si="1"/>
        <v>1</v>
      </c>
      <c r="N26" s="28">
        <f t="shared" si="2"/>
        <v>0</v>
      </c>
      <c r="O26" s="28">
        <f t="shared" si="3"/>
        <v>2</v>
      </c>
      <c r="P26" s="48" t="s">
        <v>55</v>
      </c>
      <c r="Q26" s="9" t="s">
        <v>82</v>
      </c>
      <c r="R26" s="9" t="s">
        <v>68</v>
      </c>
      <c r="S26" s="2" t="s">
        <v>90</v>
      </c>
      <c r="T26" s="5"/>
      <c r="U26" s="5"/>
      <c r="V26" s="2">
        <v>1.0</v>
      </c>
      <c r="W26" s="2"/>
      <c r="X26" s="2"/>
      <c r="Y26" s="2" t="s">
        <v>131</v>
      </c>
    </row>
    <row r="27">
      <c r="A27" s="2" t="s">
        <v>47</v>
      </c>
      <c r="B27" s="2">
        <v>7.0</v>
      </c>
      <c r="C27" s="46" t="s">
        <v>132</v>
      </c>
      <c r="D27" s="2" t="s">
        <v>23</v>
      </c>
      <c r="E27" s="2" t="s">
        <v>23</v>
      </c>
      <c r="F27" s="2" t="s">
        <v>22</v>
      </c>
      <c r="G27" s="2" t="s">
        <v>22</v>
      </c>
      <c r="H27" s="2" t="s">
        <v>26</v>
      </c>
      <c r="I27" s="2"/>
      <c r="J27" s="77"/>
      <c r="K27" s="5"/>
      <c r="L27" s="5"/>
      <c r="M27" s="28">
        <f t="shared" si="1"/>
        <v>3</v>
      </c>
      <c r="N27" s="28">
        <f t="shared" si="2"/>
        <v>0</v>
      </c>
      <c r="O27" s="28">
        <f t="shared" si="3"/>
        <v>2</v>
      </c>
      <c r="P27" s="48" t="s">
        <v>42</v>
      </c>
      <c r="Q27" s="9" t="s">
        <v>88</v>
      </c>
      <c r="R27" s="9" t="s">
        <v>81</v>
      </c>
      <c r="S27" s="2" t="s">
        <v>90</v>
      </c>
      <c r="T27" s="2"/>
      <c r="U27" s="2">
        <v>1.0</v>
      </c>
      <c r="V27" s="2"/>
      <c r="W27" s="2">
        <v>1.0</v>
      </c>
      <c r="X27" s="2"/>
      <c r="Y27" s="9"/>
    </row>
    <row r="28">
      <c r="A28" s="2" t="s">
        <v>47</v>
      </c>
      <c r="B28" s="2">
        <v>8.0</v>
      </c>
      <c r="C28" s="46" t="s">
        <v>132</v>
      </c>
      <c r="D28" s="2" t="s">
        <v>23</v>
      </c>
      <c r="E28" s="48" t="s">
        <v>22</v>
      </c>
      <c r="F28" s="2" t="s">
        <v>18</v>
      </c>
      <c r="G28" s="2" t="s">
        <v>23</v>
      </c>
      <c r="H28" s="2" t="s">
        <v>23</v>
      </c>
      <c r="I28" s="2" t="s">
        <v>23</v>
      </c>
      <c r="J28" s="2"/>
      <c r="K28" s="2"/>
      <c r="L28" s="5"/>
      <c r="M28" s="28">
        <f t="shared" si="1"/>
        <v>2</v>
      </c>
      <c r="N28" s="28">
        <f t="shared" si="2"/>
        <v>0</v>
      </c>
      <c r="O28" s="28">
        <f t="shared" si="3"/>
        <v>4</v>
      </c>
      <c r="P28" s="48" t="s">
        <v>50</v>
      </c>
      <c r="Q28" s="9"/>
      <c r="R28" s="9"/>
      <c r="S28" s="2"/>
      <c r="T28" s="5"/>
      <c r="U28" s="2">
        <v>2.0</v>
      </c>
      <c r="V28" s="5"/>
      <c r="W28" s="2">
        <v>1.0</v>
      </c>
      <c r="X28" s="2"/>
      <c r="Y28" s="9"/>
    </row>
    <row r="29">
      <c r="A29" s="2" t="s">
        <v>47</v>
      </c>
      <c r="B29" s="2">
        <v>9.0</v>
      </c>
      <c r="C29" s="46" t="s">
        <v>132</v>
      </c>
      <c r="D29" s="2" t="s">
        <v>22</v>
      </c>
      <c r="E29" s="48" t="s">
        <v>23</v>
      </c>
      <c r="F29" s="2" t="s">
        <v>23</v>
      </c>
      <c r="G29" s="2" t="s">
        <v>26</v>
      </c>
      <c r="H29" s="2"/>
      <c r="I29" s="2"/>
      <c r="J29" s="2"/>
      <c r="K29" s="5"/>
      <c r="L29" s="5"/>
      <c r="M29" s="28">
        <f t="shared" si="1"/>
        <v>2</v>
      </c>
      <c r="N29" s="28">
        <f t="shared" si="2"/>
        <v>0</v>
      </c>
      <c r="O29" s="28">
        <f t="shared" si="3"/>
        <v>2</v>
      </c>
      <c r="P29" s="48" t="s">
        <v>42</v>
      </c>
      <c r="Q29" s="9" t="s">
        <v>86</v>
      </c>
      <c r="R29" s="9" t="s">
        <v>68</v>
      </c>
      <c r="S29" s="2" t="s">
        <v>69</v>
      </c>
      <c r="T29" s="5"/>
      <c r="U29" s="2">
        <v>2.0</v>
      </c>
      <c r="V29" s="5"/>
      <c r="W29" s="2">
        <v>1.0</v>
      </c>
      <c r="X29" s="2"/>
      <c r="Y29" s="9"/>
    </row>
    <row r="30">
      <c r="A30" s="2" t="s">
        <v>47</v>
      </c>
      <c r="B30" s="2">
        <v>1.0</v>
      </c>
      <c r="C30" s="46" t="s">
        <v>132</v>
      </c>
      <c r="D30" s="2" t="s">
        <v>26</v>
      </c>
      <c r="E30" s="48"/>
      <c r="F30" s="2"/>
      <c r="G30" s="2"/>
      <c r="H30" s="2"/>
      <c r="I30" s="2"/>
      <c r="J30" s="2"/>
      <c r="K30" s="5"/>
      <c r="L30" s="5"/>
      <c r="M30" s="28">
        <f t="shared" si="1"/>
        <v>1</v>
      </c>
      <c r="N30" s="28">
        <f t="shared" si="2"/>
        <v>0</v>
      </c>
      <c r="O30" s="28">
        <f t="shared" si="3"/>
        <v>0</v>
      </c>
      <c r="P30" s="48" t="s">
        <v>55</v>
      </c>
      <c r="Q30" s="9" t="s">
        <v>82</v>
      </c>
      <c r="R30" s="9" t="s">
        <v>68</v>
      </c>
      <c r="S30" s="2" t="s">
        <v>90</v>
      </c>
      <c r="T30" s="5"/>
      <c r="U30" s="2">
        <v>1.0</v>
      </c>
      <c r="V30" s="5"/>
      <c r="W30" s="2">
        <v>1.0</v>
      </c>
      <c r="X30" s="2"/>
      <c r="Y30" s="9"/>
    </row>
    <row r="31">
      <c r="A31" s="2" t="s">
        <v>47</v>
      </c>
      <c r="B31" s="2">
        <v>2.0</v>
      </c>
      <c r="C31" s="46" t="s">
        <v>132</v>
      </c>
      <c r="D31" s="2" t="s">
        <v>22</v>
      </c>
      <c r="E31" s="2" t="s">
        <v>26</v>
      </c>
      <c r="F31" s="2"/>
      <c r="G31" s="2"/>
      <c r="H31" s="2"/>
      <c r="I31" s="2"/>
      <c r="J31" s="2"/>
      <c r="K31" s="2"/>
      <c r="L31" s="2"/>
      <c r="M31" s="28">
        <f t="shared" si="1"/>
        <v>2</v>
      </c>
      <c r="N31" s="28">
        <f t="shared" si="2"/>
        <v>0</v>
      </c>
      <c r="O31" s="28">
        <f t="shared" si="3"/>
        <v>0</v>
      </c>
      <c r="P31" s="48" t="s">
        <v>44</v>
      </c>
      <c r="Q31" s="9" t="s">
        <v>88</v>
      </c>
      <c r="R31" s="9" t="s">
        <v>81</v>
      </c>
      <c r="S31" s="2" t="s">
        <v>90</v>
      </c>
      <c r="T31" s="2">
        <v>1.0</v>
      </c>
      <c r="U31" s="2">
        <v>1.0</v>
      </c>
      <c r="V31" s="2"/>
      <c r="W31" s="2">
        <v>1.0</v>
      </c>
      <c r="X31" s="2">
        <v>2.0</v>
      </c>
      <c r="Y31" s="9"/>
    </row>
    <row r="32">
      <c r="A32" s="2" t="s">
        <v>92</v>
      </c>
      <c r="B32" s="2">
        <v>3.0</v>
      </c>
      <c r="C32" s="46" t="s">
        <v>122</v>
      </c>
      <c r="D32" s="2" t="s">
        <v>22</v>
      </c>
      <c r="E32" s="48" t="s">
        <v>26</v>
      </c>
      <c r="F32" s="2"/>
      <c r="G32" s="2"/>
      <c r="H32" s="2"/>
      <c r="I32" s="2"/>
      <c r="J32" s="2"/>
      <c r="K32" s="2"/>
      <c r="L32" s="5"/>
      <c r="M32" s="28">
        <f t="shared" si="1"/>
        <v>2</v>
      </c>
      <c r="N32" s="28">
        <f t="shared" si="2"/>
        <v>0</v>
      </c>
      <c r="O32" s="28">
        <f t="shared" si="3"/>
        <v>0</v>
      </c>
      <c r="P32" s="48" t="s">
        <v>35</v>
      </c>
      <c r="Q32" s="9" t="s">
        <v>109</v>
      </c>
      <c r="R32" s="9" t="s">
        <v>81</v>
      </c>
      <c r="S32" s="2" t="s">
        <v>90</v>
      </c>
      <c r="T32" s="5"/>
      <c r="U32" s="5"/>
      <c r="V32" s="5"/>
      <c r="W32" s="5"/>
      <c r="X32" s="2"/>
      <c r="Y32" s="9"/>
    </row>
    <row r="33">
      <c r="A33" s="2" t="s">
        <v>20</v>
      </c>
      <c r="B33" s="2">
        <v>4.0</v>
      </c>
      <c r="C33" s="46" t="s">
        <v>122</v>
      </c>
      <c r="D33" s="2" t="s">
        <v>26</v>
      </c>
      <c r="E33" s="2"/>
      <c r="F33" s="2"/>
      <c r="G33" s="2"/>
      <c r="H33" s="2"/>
      <c r="I33" s="2"/>
      <c r="J33" s="5"/>
      <c r="K33" s="5"/>
      <c r="L33" s="5"/>
      <c r="M33" s="28">
        <f t="shared" si="1"/>
        <v>1</v>
      </c>
      <c r="N33" s="28">
        <f t="shared" si="2"/>
        <v>0</v>
      </c>
      <c r="O33" s="28">
        <f t="shared" si="3"/>
        <v>0</v>
      </c>
      <c r="P33" s="48" t="s">
        <v>42</v>
      </c>
      <c r="Q33" s="9" t="s">
        <v>91</v>
      </c>
      <c r="R33" s="9" t="s">
        <v>68</v>
      </c>
      <c r="S33" s="2" t="s">
        <v>90</v>
      </c>
      <c r="T33" s="5"/>
      <c r="U33" s="5"/>
      <c r="V33" s="2">
        <v>1.0</v>
      </c>
      <c r="W33" s="5"/>
      <c r="X33" s="2"/>
      <c r="Y33" s="2" t="s">
        <v>143</v>
      </c>
    </row>
    <row r="34">
      <c r="A34" s="2" t="s">
        <v>81</v>
      </c>
      <c r="B34" s="2">
        <v>5.0</v>
      </c>
      <c r="C34" s="46" t="s">
        <v>122</v>
      </c>
      <c r="D34" s="48" t="s">
        <v>23</v>
      </c>
      <c r="E34" s="48" t="s">
        <v>23</v>
      </c>
      <c r="F34" s="48" t="s">
        <v>18</v>
      </c>
      <c r="G34" s="48" t="s">
        <v>23</v>
      </c>
      <c r="H34" s="73" t="s">
        <v>25</v>
      </c>
      <c r="I34" s="2" t="s">
        <v>23</v>
      </c>
      <c r="J34" s="2"/>
      <c r="K34" s="5"/>
      <c r="L34" s="5"/>
      <c r="M34" s="28">
        <f t="shared" si="1"/>
        <v>1</v>
      </c>
      <c r="N34" s="28">
        <f t="shared" si="2"/>
        <v>1</v>
      </c>
      <c r="O34" s="28">
        <f t="shared" si="3"/>
        <v>4</v>
      </c>
      <c r="P34" s="48" t="s">
        <v>50</v>
      </c>
      <c r="Q34" s="9"/>
      <c r="R34" s="9"/>
      <c r="S34" s="2"/>
      <c r="T34" s="5"/>
      <c r="U34" s="5"/>
      <c r="V34" s="5"/>
      <c r="W34" s="2"/>
      <c r="X34" s="2"/>
      <c r="Y34" s="9"/>
    </row>
    <row r="35">
      <c r="A35" s="2" t="s">
        <v>87</v>
      </c>
      <c r="B35" s="2">
        <v>6.0</v>
      </c>
      <c r="C35" s="46" t="s">
        <v>122</v>
      </c>
      <c r="D35" s="48" t="s">
        <v>25</v>
      </c>
      <c r="E35" s="48" t="s">
        <v>22</v>
      </c>
      <c r="F35" s="48" t="s">
        <v>26</v>
      </c>
      <c r="G35" s="48"/>
      <c r="H35" s="48"/>
      <c r="I35" s="2"/>
      <c r="J35" s="2"/>
      <c r="K35" s="5"/>
      <c r="L35" s="5"/>
      <c r="M35" s="28">
        <f t="shared" si="1"/>
        <v>2</v>
      </c>
      <c r="N35" s="28">
        <f t="shared" si="2"/>
        <v>1</v>
      </c>
      <c r="O35" s="28">
        <f t="shared" si="3"/>
        <v>0</v>
      </c>
      <c r="P35" s="48" t="s">
        <v>42</v>
      </c>
      <c r="Q35" s="9" t="s">
        <v>91</v>
      </c>
      <c r="R35" s="9" t="s">
        <v>68</v>
      </c>
      <c r="S35" s="2" t="s">
        <v>69</v>
      </c>
      <c r="T35" s="5"/>
      <c r="U35" s="5"/>
      <c r="V35" s="5"/>
      <c r="W35" s="5"/>
      <c r="X35" s="2"/>
      <c r="Y35" s="9"/>
    </row>
    <row r="36">
      <c r="A36" s="2" t="s">
        <v>92</v>
      </c>
      <c r="B36" s="2">
        <v>7.0</v>
      </c>
      <c r="C36" s="46" t="s">
        <v>122</v>
      </c>
      <c r="D36" s="2" t="s">
        <v>23</v>
      </c>
      <c r="E36" s="2" t="s">
        <v>22</v>
      </c>
      <c r="F36" s="2" t="s">
        <v>22</v>
      </c>
      <c r="G36" s="2" t="s">
        <v>23</v>
      </c>
      <c r="H36" s="2" t="s">
        <v>26</v>
      </c>
      <c r="I36" s="2"/>
      <c r="J36" s="77"/>
      <c r="K36" s="5"/>
      <c r="L36" s="5"/>
      <c r="M36" s="28">
        <f t="shared" si="1"/>
        <v>3</v>
      </c>
      <c r="N36" s="28">
        <f t="shared" si="2"/>
        <v>0</v>
      </c>
      <c r="O36" s="28">
        <f t="shared" si="3"/>
        <v>2</v>
      </c>
      <c r="P36" s="48" t="s">
        <v>145</v>
      </c>
      <c r="Q36" s="9" t="s">
        <v>120</v>
      </c>
      <c r="R36" s="9" t="s">
        <v>68</v>
      </c>
      <c r="S36" s="2" t="s">
        <v>90</v>
      </c>
      <c r="T36" s="5"/>
      <c r="U36" s="5"/>
      <c r="V36" s="5"/>
      <c r="W36" s="5"/>
      <c r="X36" s="2"/>
      <c r="Y36" s="9"/>
    </row>
    <row r="37">
      <c r="A37" s="2"/>
      <c r="B37" s="2">
        <v>8.0</v>
      </c>
      <c r="C37" s="46"/>
      <c r="D37" s="2"/>
      <c r="E37" s="48"/>
      <c r="F37" s="2"/>
      <c r="G37" s="2"/>
      <c r="H37" s="2"/>
      <c r="I37" s="2"/>
      <c r="J37" s="2"/>
      <c r="K37" s="2"/>
      <c r="L37" s="5"/>
      <c r="M37" s="28">
        <f t="shared" si="1"/>
        <v>0</v>
      </c>
      <c r="N37" s="28">
        <f t="shared" si="2"/>
        <v>0</v>
      </c>
      <c r="O37" s="28">
        <f t="shared" si="3"/>
        <v>0</v>
      </c>
      <c r="P37" s="48"/>
      <c r="Q37" s="80"/>
      <c r="R37" s="80"/>
      <c r="S37" s="5"/>
      <c r="T37" s="5"/>
      <c r="U37" s="5"/>
      <c r="V37" s="5"/>
      <c r="W37" s="5"/>
      <c r="X37" s="2"/>
      <c r="Y37" s="9"/>
    </row>
    <row r="38">
      <c r="A38" s="2"/>
      <c r="B38" s="2">
        <v>9.0</v>
      </c>
      <c r="C38" s="46"/>
      <c r="D38" s="2"/>
      <c r="E38" s="48"/>
      <c r="F38" s="2"/>
      <c r="G38" s="2"/>
      <c r="H38" s="2"/>
      <c r="I38" s="2"/>
      <c r="J38" s="2"/>
      <c r="K38" s="5"/>
      <c r="L38" s="5"/>
      <c r="M38" s="28">
        <f t="shared" si="1"/>
        <v>0</v>
      </c>
      <c r="N38" s="28">
        <f t="shared" si="2"/>
        <v>0</v>
      </c>
      <c r="O38" s="28">
        <f t="shared" si="3"/>
        <v>0</v>
      </c>
      <c r="P38" s="48"/>
      <c r="Q38" s="80"/>
      <c r="R38" s="80"/>
      <c r="S38" s="5"/>
      <c r="T38" s="5"/>
      <c r="U38" s="5"/>
      <c r="V38" s="5"/>
      <c r="W38" s="5"/>
      <c r="X38" s="2"/>
      <c r="Y38" s="9"/>
    </row>
    <row r="39">
      <c r="A39" s="2"/>
      <c r="B39" s="2">
        <v>1.0</v>
      </c>
      <c r="C39" s="81"/>
      <c r="D39" s="2"/>
      <c r="E39" s="48"/>
      <c r="F39" s="2"/>
      <c r="G39" s="2"/>
      <c r="H39" s="2"/>
      <c r="I39" s="2"/>
      <c r="J39" s="2"/>
      <c r="K39" s="5"/>
      <c r="L39" s="5"/>
      <c r="M39" s="28">
        <f t="shared" si="1"/>
        <v>0</v>
      </c>
      <c r="N39" s="28">
        <f t="shared" si="2"/>
        <v>0</v>
      </c>
      <c r="O39" s="28">
        <f t="shared" si="3"/>
        <v>0</v>
      </c>
      <c r="P39" s="48"/>
      <c r="Q39" s="80"/>
      <c r="R39" s="80"/>
      <c r="S39" s="5"/>
      <c r="T39" s="5"/>
      <c r="U39" s="5"/>
      <c r="V39" s="5"/>
      <c r="W39" s="5"/>
      <c r="X39" s="2"/>
      <c r="Y39" s="9"/>
    </row>
    <row r="40">
      <c r="A40" s="2"/>
      <c r="B40" s="2">
        <v>2.0</v>
      </c>
      <c r="C40" s="81"/>
      <c r="D40" s="2"/>
      <c r="E40" s="48"/>
      <c r="F40" s="2"/>
      <c r="G40" s="2"/>
      <c r="H40" s="2"/>
      <c r="I40" s="2"/>
      <c r="J40" s="2"/>
      <c r="K40" s="5"/>
      <c r="L40" s="5"/>
      <c r="M40" s="28">
        <f t="shared" si="1"/>
        <v>0</v>
      </c>
      <c r="N40" s="28">
        <f t="shared" si="2"/>
        <v>0</v>
      </c>
      <c r="O40" s="28">
        <f t="shared" si="3"/>
        <v>0</v>
      </c>
      <c r="P40" s="48"/>
      <c r="Q40" s="80"/>
      <c r="R40" s="80"/>
      <c r="S40" s="5"/>
      <c r="T40" s="5"/>
      <c r="U40" s="5"/>
      <c r="V40" s="5"/>
      <c r="W40" s="5"/>
      <c r="X40" s="2"/>
      <c r="Y40" s="9"/>
    </row>
    <row r="41">
      <c r="A41" s="2"/>
      <c r="B41" s="2">
        <v>3.0</v>
      </c>
      <c r="C41" s="81"/>
      <c r="D41" s="2"/>
      <c r="E41" s="48"/>
      <c r="F41" s="2"/>
      <c r="G41" s="2"/>
      <c r="H41" s="2"/>
      <c r="I41" s="2"/>
      <c r="J41" s="2"/>
      <c r="K41" s="5"/>
      <c r="L41" s="5"/>
      <c r="M41" s="28">
        <f t="shared" si="1"/>
        <v>0</v>
      </c>
      <c r="N41" s="28">
        <f t="shared" si="2"/>
        <v>0</v>
      </c>
      <c r="O41" s="28">
        <f t="shared" si="3"/>
        <v>0</v>
      </c>
      <c r="P41" s="48"/>
      <c r="Q41" s="80"/>
      <c r="R41" s="80"/>
      <c r="S41" s="5"/>
      <c r="T41" s="5"/>
      <c r="U41" s="5"/>
      <c r="V41" s="5"/>
      <c r="W41" s="5"/>
      <c r="X41" s="2"/>
      <c r="Y41" s="9"/>
    </row>
    <row r="42">
      <c r="A42" s="2"/>
      <c r="B42" s="2">
        <v>4.0</v>
      </c>
      <c r="C42" s="81"/>
      <c r="D42" s="2"/>
      <c r="E42" s="48"/>
      <c r="F42" s="2"/>
      <c r="G42" s="2"/>
      <c r="H42" s="2"/>
      <c r="I42" s="2"/>
      <c r="J42" s="2"/>
      <c r="K42" s="5"/>
      <c r="L42" s="5"/>
      <c r="M42" s="28">
        <f t="shared" si="1"/>
        <v>0</v>
      </c>
      <c r="N42" s="28">
        <f t="shared" si="2"/>
        <v>0</v>
      </c>
      <c r="O42" s="28">
        <f t="shared" si="3"/>
        <v>0</v>
      </c>
      <c r="P42" s="48"/>
      <c r="Q42" s="80"/>
      <c r="R42" s="80"/>
      <c r="S42" s="5"/>
      <c r="T42" s="5"/>
      <c r="U42" s="5"/>
      <c r="V42" s="5"/>
      <c r="W42" s="5"/>
      <c r="X42" s="2"/>
      <c r="Y42" s="9"/>
    </row>
    <row r="43">
      <c r="A43" s="2"/>
      <c r="B43" s="2">
        <v>5.0</v>
      </c>
      <c r="C43" s="81"/>
      <c r="D43" s="2"/>
      <c r="E43" s="48"/>
      <c r="F43" s="2"/>
      <c r="G43" s="2"/>
      <c r="H43" s="2"/>
      <c r="I43" s="2"/>
      <c r="J43" s="2"/>
      <c r="K43" s="5"/>
      <c r="L43" s="5"/>
      <c r="M43" s="28">
        <f t="shared" si="1"/>
        <v>0</v>
      </c>
      <c r="N43" s="28">
        <f t="shared" si="2"/>
        <v>0</v>
      </c>
      <c r="O43" s="28">
        <f t="shared" si="3"/>
        <v>0</v>
      </c>
      <c r="P43" s="48"/>
      <c r="Q43" s="80"/>
      <c r="R43" s="80"/>
      <c r="S43" s="5"/>
      <c r="T43" s="5"/>
      <c r="U43" s="5"/>
      <c r="V43" s="5"/>
      <c r="W43" s="5"/>
      <c r="X43" s="2"/>
      <c r="Y43" s="9"/>
    </row>
    <row r="44">
      <c r="A44" s="2"/>
      <c r="B44" s="2">
        <v>6.0</v>
      </c>
      <c r="C44" s="81"/>
      <c r="D44" s="2"/>
      <c r="E44" s="48"/>
      <c r="F44" s="2"/>
      <c r="G44" s="2"/>
      <c r="H44" s="2"/>
      <c r="I44" s="2"/>
      <c r="J44" s="2"/>
      <c r="K44" s="5"/>
      <c r="L44" s="5"/>
      <c r="M44" s="28">
        <f t="shared" si="1"/>
        <v>0</v>
      </c>
      <c r="N44" s="28">
        <f t="shared" si="2"/>
        <v>0</v>
      </c>
      <c r="O44" s="28">
        <f t="shared" si="3"/>
        <v>0</v>
      </c>
      <c r="P44" s="48"/>
      <c r="Q44" s="80"/>
      <c r="R44" s="80"/>
      <c r="S44" s="5"/>
      <c r="T44" s="5"/>
      <c r="U44" s="5"/>
      <c r="V44" s="5"/>
      <c r="W44" s="5"/>
      <c r="X44" s="2"/>
      <c r="Y44" s="9"/>
    </row>
    <row r="45">
      <c r="A45" s="2"/>
      <c r="B45" s="2">
        <v>7.0</v>
      </c>
      <c r="C45" s="81"/>
      <c r="D45" s="2"/>
      <c r="E45" s="48"/>
      <c r="F45" s="2"/>
      <c r="G45" s="2"/>
      <c r="H45" s="2"/>
      <c r="I45" s="2"/>
      <c r="J45" s="2"/>
      <c r="K45" s="5"/>
      <c r="L45" s="5"/>
      <c r="M45" s="28">
        <f t="shared" si="1"/>
        <v>0</v>
      </c>
      <c r="N45" s="28">
        <f t="shared" si="2"/>
        <v>0</v>
      </c>
      <c r="O45" s="28">
        <f t="shared" si="3"/>
        <v>0</v>
      </c>
      <c r="P45" s="48"/>
      <c r="Q45" s="80"/>
      <c r="R45" s="80"/>
      <c r="S45" s="5"/>
      <c r="T45" s="5"/>
      <c r="U45" s="5"/>
      <c r="V45" s="5"/>
      <c r="W45" s="5"/>
      <c r="X45" s="2"/>
      <c r="Y45" s="9"/>
    </row>
    <row r="46">
      <c r="A46" s="2"/>
      <c r="B46" s="2">
        <v>8.0</v>
      </c>
      <c r="C46" s="81"/>
      <c r="D46" s="2"/>
      <c r="E46" s="48"/>
      <c r="F46" s="2"/>
      <c r="G46" s="2"/>
      <c r="H46" s="2"/>
      <c r="I46" s="2"/>
      <c r="J46" s="2"/>
      <c r="K46" s="5"/>
      <c r="L46" s="5"/>
      <c r="M46" s="28">
        <f t="shared" si="1"/>
        <v>0</v>
      </c>
      <c r="N46" s="28">
        <f t="shared" si="2"/>
        <v>0</v>
      </c>
      <c r="O46" s="28">
        <f t="shared" si="3"/>
        <v>0</v>
      </c>
      <c r="P46" s="48"/>
      <c r="Q46" s="80"/>
      <c r="R46" s="80"/>
      <c r="S46" s="5"/>
      <c r="T46" s="5"/>
      <c r="U46" s="5"/>
      <c r="V46" s="5"/>
      <c r="W46" s="5"/>
      <c r="X46" s="2"/>
      <c r="Y46" s="9"/>
    </row>
    <row r="47">
      <c r="A47" s="2"/>
      <c r="B47" s="2">
        <v>9.0</v>
      </c>
      <c r="C47" s="81"/>
      <c r="D47" s="2"/>
      <c r="E47" s="48"/>
      <c r="F47" s="2"/>
      <c r="G47" s="2"/>
      <c r="H47" s="2"/>
      <c r="I47" s="2"/>
      <c r="J47" s="2"/>
      <c r="K47" s="5"/>
      <c r="L47" s="5"/>
      <c r="M47" s="28">
        <f t="shared" si="1"/>
        <v>0</v>
      </c>
      <c r="N47" s="28">
        <f t="shared" si="2"/>
        <v>0</v>
      </c>
      <c r="O47" s="28">
        <f t="shared" si="3"/>
        <v>0</v>
      </c>
      <c r="P47" s="48"/>
      <c r="Q47" s="80"/>
      <c r="R47" s="80"/>
      <c r="S47" s="5"/>
      <c r="T47" s="5"/>
      <c r="U47" s="5"/>
      <c r="V47" s="5"/>
      <c r="W47" s="5"/>
      <c r="X47" s="2"/>
      <c r="Y47" s="9"/>
    </row>
    <row r="48">
      <c r="A48" s="2"/>
      <c r="B48" s="2">
        <v>1.0</v>
      </c>
      <c r="C48" s="81"/>
      <c r="D48" s="2"/>
      <c r="E48" s="48"/>
      <c r="F48" s="2"/>
      <c r="G48" s="2"/>
      <c r="H48" s="2"/>
      <c r="I48" s="2"/>
      <c r="J48" s="2"/>
      <c r="K48" s="5"/>
      <c r="L48" s="5"/>
      <c r="M48" s="28">
        <f t="shared" si="1"/>
        <v>0</v>
      </c>
      <c r="N48" s="28">
        <f t="shared" si="2"/>
        <v>0</v>
      </c>
      <c r="O48" s="28">
        <f t="shared" si="3"/>
        <v>0</v>
      </c>
      <c r="P48" s="48"/>
      <c r="Q48" s="80"/>
      <c r="R48" s="80"/>
      <c r="S48" s="5"/>
      <c r="T48" s="5"/>
      <c r="U48" s="5"/>
      <c r="V48" s="5"/>
      <c r="W48" s="5"/>
      <c r="X48" s="2"/>
      <c r="Y48" s="9"/>
    </row>
    <row r="49">
      <c r="A49" s="2"/>
      <c r="B49" s="2">
        <v>2.0</v>
      </c>
      <c r="C49" s="81"/>
      <c r="D49" s="2"/>
      <c r="E49" s="48"/>
      <c r="F49" s="2"/>
      <c r="G49" s="2"/>
      <c r="H49" s="2"/>
      <c r="I49" s="2"/>
      <c r="J49" s="2"/>
      <c r="K49" s="5"/>
      <c r="L49" s="5"/>
      <c r="M49" s="28">
        <f t="shared" si="1"/>
        <v>0</v>
      </c>
      <c r="N49" s="28">
        <f t="shared" si="2"/>
        <v>0</v>
      </c>
      <c r="O49" s="28">
        <f t="shared" si="3"/>
        <v>0</v>
      </c>
      <c r="P49" s="48"/>
      <c r="Q49" s="80"/>
      <c r="R49" s="80"/>
      <c r="S49" s="5"/>
      <c r="T49" s="5"/>
      <c r="U49" s="5"/>
      <c r="V49" s="5"/>
      <c r="W49" s="5"/>
      <c r="X49" s="2"/>
      <c r="Y49" s="9"/>
    </row>
    <row r="50">
      <c r="A50" s="2"/>
      <c r="B50" s="2">
        <v>3.0</v>
      </c>
      <c r="C50" s="81"/>
      <c r="D50" s="2"/>
      <c r="E50" s="48"/>
      <c r="F50" s="2"/>
      <c r="G50" s="2"/>
      <c r="H50" s="2"/>
      <c r="I50" s="2"/>
      <c r="J50" s="2"/>
      <c r="K50" s="5"/>
      <c r="L50" s="5"/>
      <c r="M50" s="28">
        <f t="shared" si="1"/>
        <v>0</v>
      </c>
      <c r="N50" s="28">
        <f t="shared" si="2"/>
        <v>0</v>
      </c>
      <c r="O50" s="28">
        <f t="shared" si="3"/>
        <v>0</v>
      </c>
      <c r="P50" s="48"/>
      <c r="Q50" s="80"/>
      <c r="R50" s="80"/>
      <c r="S50" s="5"/>
      <c r="T50" s="5"/>
      <c r="U50" s="5"/>
      <c r="V50" s="5"/>
      <c r="W50" s="5"/>
      <c r="X50" s="2"/>
      <c r="Y50" s="9"/>
    </row>
    <row r="51">
      <c r="A51" s="2"/>
      <c r="B51" s="2">
        <v>4.0</v>
      </c>
      <c r="C51" s="81"/>
      <c r="D51" s="2"/>
      <c r="E51" s="48"/>
      <c r="F51" s="2"/>
      <c r="G51" s="2"/>
      <c r="H51" s="2"/>
      <c r="I51" s="2"/>
      <c r="J51" s="2"/>
      <c r="K51" s="5"/>
      <c r="L51" s="5"/>
      <c r="M51" s="28">
        <f t="shared" si="1"/>
        <v>0</v>
      </c>
      <c r="N51" s="28">
        <f t="shared" si="2"/>
        <v>0</v>
      </c>
      <c r="O51" s="28">
        <f t="shared" si="3"/>
        <v>0</v>
      </c>
      <c r="P51" s="48"/>
      <c r="Q51" s="80"/>
      <c r="R51" s="80"/>
      <c r="S51" s="5"/>
      <c r="T51" s="5"/>
      <c r="U51" s="5"/>
      <c r="V51" s="5"/>
      <c r="W51" s="5"/>
      <c r="X51" s="2"/>
      <c r="Y51" s="9"/>
    </row>
    <row r="52">
      <c r="A52" s="2"/>
      <c r="B52" s="2">
        <v>5.0</v>
      </c>
      <c r="C52" s="81"/>
      <c r="D52" s="2"/>
      <c r="E52" s="48"/>
      <c r="F52" s="2"/>
      <c r="G52" s="2"/>
      <c r="H52" s="2"/>
      <c r="I52" s="2"/>
      <c r="J52" s="2"/>
      <c r="K52" s="5"/>
      <c r="L52" s="5"/>
      <c r="M52" s="28">
        <f t="shared" si="1"/>
        <v>0</v>
      </c>
      <c r="N52" s="28">
        <f t="shared" si="2"/>
        <v>0</v>
      </c>
      <c r="O52" s="28">
        <f t="shared" si="3"/>
        <v>0</v>
      </c>
      <c r="P52" s="48"/>
      <c r="Q52" s="80"/>
      <c r="R52" s="80"/>
      <c r="S52" s="5"/>
      <c r="T52" s="5"/>
      <c r="U52" s="5"/>
      <c r="V52" s="5"/>
      <c r="W52" s="5"/>
      <c r="X52" s="2"/>
      <c r="Y52" s="9"/>
    </row>
    <row r="53">
      <c r="A53" s="2"/>
      <c r="B53" s="2">
        <v>6.0</v>
      </c>
      <c r="C53" s="81"/>
      <c r="D53" s="2"/>
      <c r="E53" s="48"/>
      <c r="F53" s="2"/>
      <c r="G53" s="2"/>
      <c r="H53" s="2"/>
      <c r="I53" s="2"/>
      <c r="J53" s="2"/>
      <c r="K53" s="5"/>
      <c r="L53" s="5"/>
      <c r="M53" s="28">
        <f t="shared" si="1"/>
        <v>0</v>
      </c>
      <c r="N53" s="28">
        <f t="shared" si="2"/>
        <v>0</v>
      </c>
      <c r="O53" s="28">
        <f t="shared" si="3"/>
        <v>0</v>
      </c>
      <c r="P53" s="48"/>
      <c r="Q53" s="80"/>
      <c r="R53" s="80"/>
      <c r="S53" s="5"/>
      <c r="T53" s="5"/>
      <c r="U53" s="5"/>
      <c r="V53" s="5"/>
      <c r="W53" s="5"/>
      <c r="X53" s="2"/>
      <c r="Y53" s="9"/>
    </row>
    <row r="54">
      <c r="A54" s="2"/>
      <c r="B54" s="2">
        <v>7.0</v>
      </c>
      <c r="C54" s="81"/>
      <c r="D54" s="2"/>
      <c r="E54" s="48"/>
      <c r="F54" s="2"/>
      <c r="G54" s="2"/>
      <c r="H54" s="2"/>
      <c r="I54" s="2"/>
      <c r="J54" s="2"/>
      <c r="K54" s="5"/>
      <c r="L54" s="5"/>
      <c r="M54" s="28">
        <f t="shared" si="1"/>
        <v>0</v>
      </c>
      <c r="N54" s="28">
        <f t="shared" si="2"/>
        <v>0</v>
      </c>
      <c r="O54" s="28">
        <f t="shared" si="3"/>
        <v>0</v>
      </c>
      <c r="P54" s="48"/>
      <c r="Q54" s="80"/>
      <c r="R54" s="80"/>
      <c r="S54" s="5"/>
      <c r="T54" s="5"/>
      <c r="U54" s="5"/>
      <c r="V54" s="5"/>
      <c r="W54" s="5"/>
      <c r="X54" s="2"/>
      <c r="Y54" s="9"/>
    </row>
    <row r="55">
      <c r="A55" s="2"/>
      <c r="B55" s="2">
        <v>8.0</v>
      </c>
      <c r="C55" s="81"/>
      <c r="D55" s="2"/>
      <c r="E55" s="48"/>
      <c r="F55" s="2"/>
      <c r="G55" s="2"/>
      <c r="H55" s="2"/>
      <c r="I55" s="2"/>
      <c r="J55" s="2"/>
      <c r="K55" s="5"/>
      <c r="L55" s="5"/>
      <c r="M55" s="28">
        <f t="shared" si="1"/>
        <v>0</v>
      </c>
      <c r="N55" s="28">
        <f t="shared" si="2"/>
        <v>0</v>
      </c>
      <c r="O55" s="28">
        <f t="shared" si="3"/>
        <v>0</v>
      </c>
      <c r="P55" s="48"/>
      <c r="Q55" s="80"/>
      <c r="R55" s="80"/>
      <c r="S55" s="5"/>
      <c r="T55" s="5"/>
      <c r="U55" s="5"/>
      <c r="V55" s="5"/>
      <c r="W55" s="5"/>
      <c r="X55" s="2"/>
      <c r="Y55" s="9"/>
    </row>
    <row r="56">
      <c r="A56" s="2"/>
      <c r="B56" s="2">
        <v>9.0</v>
      </c>
      <c r="C56" s="81"/>
      <c r="D56" s="2"/>
      <c r="E56" s="48"/>
      <c r="F56" s="2"/>
      <c r="G56" s="2"/>
      <c r="H56" s="2"/>
      <c r="I56" s="2"/>
      <c r="J56" s="2"/>
      <c r="K56" s="5"/>
      <c r="L56" s="5"/>
      <c r="M56" s="28">
        <f t="shared" si="1"/>
        <v>0</v>
      </c>
      <c r="N56" s="28">
        <f t="shared" si="2"/>
        <v>0</v>
      </c>
      <c r="O56" s="28">
        <f t="shared" si="3"/>
        <v>0</v>
      </c>
      <c r="P56" s="48"/>
      <c r="Q56" s="80"/>
      <c r="R56" s="80"/>
      <c r="S56" s="5"/>
      <c r="T56" s="5"/>
      <c r="U56" s="5"/>
      <c r="V56" s="5"/>
      <c r="W56" s="5"/>
      <c r="X56" s="2"/>
      <c r="Y56" s="9"/>
    </row>
    <row r="57">
      <c r="A57" s="2"/>
      <c r="B57" s="2">
        <v>1.0</v>
      </c>
      <c r="C57" s="81"/>
      <c r="D57" s="2"/>
      <c r="E57" s="48"/>
      <c r="F57" s="2"/>
      <c r="G57" s="2"/>
      <c r="H57" s="2"/>
      <c r="I57" s="2"/>
      <c r="J57" s="2"/>
      <c r="K57" s="5"/>
      <c r="L57" s="5"/>
      <c r="M57" s="28">
        <f t="shared" si="1"/>
        <v>0</v>
      </c>
      <c r="N57" s="28">
        <f t="shared" si="2"/>
        <v>0</v>
      </c>
      <c r="O57" s="28">
        <f t="shared" si="3"/>
        <v>0</v>
      </c>
      <c r="P57" s="48"/>
      <c r="Q57" s="80"/>
      <c r="R57" s="80"/>
      <c r="S57" s="5"/>
      <c r="T57" s="5"/>
      <c r="U57" s="5"/>
      <c r="V57" s="5"/>
      <c r="W57" s="5"/>
      <c r="X57" s="2"/>
      <c r="Y57" s="9"/>
    </row>
    <row r="58">
      <c r="A58" s="2"/>
      <c r="B58" s="2">
        <v>2.0</v>
      </c>
      <c r="C58" s="81"/>
      <c r="D58" s="2"/>
      <c r="E58" s="48"/>
      <c r="F58" s="2"/>
      <c r="G58" s="2"/>
      <c r="H58" s="2"/>
      <c r="I58" s="2"/>
      <c r="J58" s="2"/>
      <c r="K58" s="5"/>
      <c r="L58" s="5"/>
      <c r="M58" s="28">
        <f t="shared" si="1"/>
        <v>0</v>
      </c>
      <c r="N58" s="28">
        <f t="shared" si="2"/>
        <v>0</v>
      </c>
      <c r="O58" s="28">
        <f t="shared" si="3"/>
        <v>0</v>
      </c>
      <c r="P58" s="48"/>
      <c r="Q58" s="80"/>
      <c r="R58" s="80"/>
      <c r="S58" s="5"/>
      <c r="T58" s="5"/>
      <c r="U58" s="5"/>
      <c r="V58" s="5"/>
      <c r="W58" s="5"/>
      <c r="X58" s="2"/>
      <c r="Y58" s="9"/>
    </row>
    <row r="59">
      <c r="A59" s="2"/>
      <c r="B59" s="2">
        <v>3.0</v>
      </c>
      <c r="C59" s="81"/>
      <c r="D59" s="2"/>
      <c r="E59" s="48"/>
      <c r="F59" s="2"/>
      <c r="G59" s="2"/>
      <c r="H59" s="2"/>
      <c r="I59" s="2"/>
      <c r="J59" s="2"/>
      <c r="K59" s="5"/>
      <c r="L59" s="5"/>
      <c r="M59" s="28">
        <f t="shared" si="1"/>
        <v>0</v>
      </c>
      <c r="N59" s="28">
        <f t="shared" si="2"/>
        <v>0</v>
      </c>
      <c r="O59" s="28">
        <f t="shared" si="3"/>
        <v>0</v>
      </c>
      <c r="P59" s="48"/>
      <c r="Q59" s="80"/>
      <c r="R59" s="80"/>
      <c r="S59" s="5"/>
      <c r="T59" s="5"/>
      <c r="U59" s="5"/>
      <c r="V59" s="5"/>
      <c r="W59" s="5"/>
      <c r="X59" s="2"/>
      <c r="Y59" s="9"/>
    </row>
    <row r="60">
      <c r="A60" s="2"/>
      <c r="B60" s="2">
        <v>4.0</v>
      </c>
      <c r="C60" s="81"/>
      <c r="D60" s="2"/>
      <c r="E60" s="48"/>
      <c r="F60" s="2"/>
      <c r="G60" s="2"/>
      <c r="H60" s="2"/>
      <c r="I60" s="2"/>
      <c r="J60" s="2"/>
      <c r="K60" s="5"/>
      <c r="L60" s="5"/>
      <c r="M60" s="28">
        <f t="shared" si="1"/>
        <v>0</v>
      </c>
      <c r="N60" s="28">
        <f t="shared" si="2"/>
        <v>0</v>
      </c>
      <c r="O60" s="28">
        <f t="shared" si="3"/>
        <v>0</v>
      </c>
      <c r="P60" s="48"/>
      <c r="Q60" s="80"/>
      <c r="R60" s="80"/>
      <c r="S60" s="5"/>
      <c r="T60" s="5"/>
      <c r="U60" s="5"/>
      <c r="V60" s="5"/>
      <c r="W60" s="5"/>
      <c r="X60" s="2"/>
      <c r="Y60" s="9"/>
    </row>
    <row r="61">
      <c r="A61" s="2"/>
      <c r="B61" s="2">
        <v>5.0</v>
      </c>
      <c r="C61" s="81"/>
      <c r="D61" s="2"/>
      <c r="E61" s="48"/>
      <c r="F61" s="2"/>
      <c r="G61" s="2"/>
      <c r="H61" s="2"/>
      <c r="I61" s="2"/>
      <c r="J61" s="2"/>
      <c r="K61" s="5"/>
      <c r="L61" s="5"/>
      <c r="M61" s="28">
        <f t="shared" si="1"/>
        <v>0</v>
      </c>
      <c r="N61" s="28">
        <f t="shared" si="2"/>
        <v>0</v>
      </c>
      <c r="O61" s="28">
        <f t="shared" si="3"/>
        <v>0</v>
      </c>
      <c r="P61" s="48"/>
      <c r="Q61" s="80"/>
      <c r="R61" s="80"/>
      <c r="S61" s="5"/>
      <c r="T61" s="5"/>
      <c r="U61" s="5"/>
      <c r="V61" s="5"/>
      <c r="W61" s="5"/>
      <c r="X61" s="2"/>
      <c r="Y61" s="9"/>
    </row>
    <row r="62">
      <c r="A62" s="2"/>
      <c r="B62" s="2">
        <v>6.0</v>
      </c>
      <c r="C62" s="81"/>
      <c r="D62" s="2"/>
      <c r="E62" s="48"/>
      <c r="F62" s="2"/>
      <c r="G62" s="2"/>
      <c r="H62" s="2"/>
      <c r="I62" s="2"/>
      <c r="J62" s="2"/>
      <c r="K62" s="5"/>
      <c r="L62" s="5"/>
      <c r="M62" s="28">
        <f t="shared" si="1"/>
        <v>0</v>
      </c>
      <c r="N62" s="28">
        <f t="shared" si="2"/>
        <v>0</v>
      </c>
      <c r="O62" s="28">
        <f t="shared" si="3"/>
        <v>0</v>
      </c>
      <c r="P62" s="48"/>
      <c r="Q62" s="80"/>
      <c r="R62" s="80"/>
      <c r="S62" s="5"/>
      <c r="T62" s="5"/>
      <c r="U62" s="5"/>
      <c r="V62" s="5"/>
      <c r="W62" s="5"/>
      <c r="X62" s="2"/>
      <c r="Y62" s="9"/>
    </row>
    <row r="63">
      <c r="A63" s="2"/>
      <c r="B63" s="2">
        <v>7.0</v>
      </c>
      <c r="C63" s="81"/>
      <c r="D63" s="2"/>
      <c r="E63" s="48"/>
      <c r="F63" s="2"/>
      <c r="G63" s="2"/>
      <c r="H63" s="2"/>
      <c r="I63" s="2"/>
      <c r="J63" s="2"/>
      <c r="K63" s="5"/>
      <c r="L63" s="5"/>
      <c r="M63" s="28">
        <f t="shared" si="1"/>
        <v>0</v>
      </c>
      <c r="N63" s="28">
        <f t="shared" si="2"/>
        <v>0</v>
      </c>
      <c r="O63" s="28">
        <f t="shared" si="3"/>
        <v>0</v>
      </c>
      <c r="P63" s="48"/>
      <c r="Q63" s="80"/>
      <c r="R63" s="80"/>
      <c r="S63" s="5"/>
      <c r="T63" s="5"/>
      <c r="U63" s="5"/>
      <c r="V63" s="5"/>
      <c r="W63" s="5"/>
      <c r="X63" s="2"/>
      <c r="Y63" s="9"/>
    </row>
    <row r="64">
      <c r="A64" s="2"/>
      <c r="B64" s="2">
        <v>8.0</v>
      </c>
      <c r="C64" s="81"/>
      <c r="D64" s="2"/>
      <c r="E64" s="48"/>
      <c r="F64" s="2"/>
      <c r="G64" s="2"/>
      <c r="H64" s="2"/>
      <c r="I64" s="2"/>
      <c r="J64" s="2"/>
      <c r="K64" s="5"/>
      <c r="L64" s="5"/>
      <c r="M64" s="28">
        <f t="shared" si="1"/>
        <v>0</v>
      </c>
      <c r="N64" s="28">
        <f t="shared" si="2"/>
        <v>0</v>
      </c>
      <c r="O64" s="28">
        <f t="shared" si="3"/>
        <v>0</v>
      </c>
      <c r="P64" s="48"/>
      <c r="Q64" s="80"/>
      <c r="R64" s="80"/>
      <c r="S64" s="5"/>
      <c r="T64" s="5"/>
      <c r="U64" s="5"/>
      <c r="V64" s="5"/>
      <c r="W64" s="5"/>
      <c r="X64" s="2"/>
      <c r="Y64" s="9"/>
    </row>
    <row r="65">
      <c r="A65" s="2"/>
      <c r="B65" s="2">
        <v>9.0</v>
      </c>
      <c r="C65" s="81"/>
      <c r="D65" s="2"/>
      <c r="E65" s="48"/>
      <c r="F65" s="2"/>
      <c r="G65" s="2"/>
      <c r="H65" s="2"/>
      <c r="I65" s="2"/>
      <c r="J65" s="2"/>
      <c r="K65" s="5"/>
      <c r="L65" s="5"/>
      <c r="M65" s="28">
        <f t="shared" si="1"/>
        <v>0</v>
      </c>
      <c r="N65" s="28">
        <f t="shared" si="2"/>
        <v>0</v>
      </c>
      <c r="O65" s="28">
        <f t="shared" si="3"/>
        <v>0</v>
      </c>
      <c r="P65" s="48"/>
      <c r="Q65" s="80"/>
      <c r="R65" s="80"/>
      <c r="S65" s="5"/>
      <c r="T65" s="5"/>
      <c r="U65" s="5"/>
      <c r="V65" s="5"/>
      <c r="W65" s="5"/>
      <c r="X65" s="2"/>
      <c r="Y65" s="9"/>
    </row>
    <row r="66">
      <c r="A66" s="2"/>
      <c r="B66" s="2">
        <v>1.0</v>
      </c>
      <c r="C66" s="81"/>
      <c r="D66" s="2"/>
      <c r="E66" s="48"/>
      <c r="F66" s="2"/>
      <c r="G66" s="2"/>
      <c r="H66" s="2"/>
      <c r="I66" s="2"/>
      <c r="J66" s="2"/>
      <c r="K66" s="5"/>
      <c r="L66" s="5"/>
      <c r="M66" s="28">
        <f t="shared" si="1"/>
        <v>0</v>
      </c>
      <c r="N66" s="28">
        <f t="shared" si="2"/>
        <v>0</v>
      </c>
      <c r="O66" s="28">
        <f t="shared" si="3"/>
        <v>0</v>
      </c>
      <c r="P66" s="48"/>
      <c r="Q66" s="80"/>
      <c r="R66" s="80"/>
      <c r="S66" s="5"/>
      <c r="T66" s="5"/>
      <c r="U66" s="5"/>
      <c r="V66" s="5"/>
      <c r="W66" s="5"/>
      <c r="X66" s="2"/>
      <c r="Y66" s="9"/>
    </row>
    <row r="67">
      <c r="A67" s="2"/>
      <c r="B67" s="2">
        <v>2.0</v>
      </c>
      <c r="C67" s="81"/>
      <c r="D67" s="2"/>
      <c r="E67" s="48"/>
      <c r="F67" s="2"/>
      <c r="G67" s="2"/>
      <c r="H67" s="2"/>
      <c r="I67" s="2"/>
      <c r="J67" s="2"/>
      <c r="K67" s="5"/>
      <c r="L67" s="5"/>
      <c r="M67" s="28">
        <f t="shared" si="1"/>
        <v>0</v>
      </c>
      <c r="N67" s="28">
        <f t="shared" si="2"/>
        <v>0</v>
      </c>
      <c r="O67" s="28">
        <f t="shared" si="3"/>
        <v>0</v>
      </c>
      <c r="P67" s="48"/>
      <c r="Q67" s="80"/>
      <c r="R67" s="80"/>
      <c r="S67" s="5"/>
      <c r="T67" s="5"/>
      <c r="U67" s="5"/>
      <c r="V67" s="5"/>
      <c r="W67" s="5"/>
      <c r="X67" s="2"/>
      <c r="Y67" s="9"/>
    </row>
    <row r="68">
      <c r="A68" s="2"/>
      <c r="B68" s="2">
        <v>3.0</v>
      </c>
      <c r="C68" s="81"/>
      <c r="D68" s="2"/>
      <c r="E68" s="48"/>
      <c r="F68" s="2"/>
      <c r="G68" s="2"/>
      <c r="H68" s="2"/>
      <c r="I68" s="2"/>
      <c r="J68" s="2"/>
      <c r="K68" s="5"/>
      <c r="L68" s="5"/>
      <c r="M68" s="28">
        <f t="shared" si="1"/>
        <v>0</v>
      </c>
      <c r="N68" s="28">
        <f t="shared" si="2"/>
        <v>0</v>
      </c>
      <c r="O68" s="28">
        <f t="shared" si="3"/>
        <v>0</v>
      </c>
      <c r="P68" s="48"/>
      <c r="Q68" s="80"/>
      <c r="R68" s="80"/>
      <c r="S68" s="5"/>
      <c r="T68" s="5"/>
      <c r="U68" s="5"/>
      <c r="V68" s="5"/>
      <c r="W68" s="5"/>
      <c r="X68" s="2"/>
      <c r="Y68" s="9"/>
    </row>
    <row r="69">
      <c r="A69" s="2"/>
      <c r="B69" s="2">
        <v>4.0</v>
      </c>
      <c r="C69" s="81"/>
      <c r="D69" s="2"/>
      <c r="E69" s="48"/>
      <c r="F69" s="2"/>
      <c r="G69" s="2"/>
      <c r="H69" s="2"/>
      <c r="I69" s="2"/>
      <c r="J69" s="2"/>
      <c r="K69" s="5"/>
      <c r="L69" s="5"/>
      <c r="M69" s="28">
        <f t="shared" si="1"/>
        <v>0</v>
      </c>
      <c r="N69" s="28">
        <f t="shared" si="2"/>
        <v>0</v>
      </c>
      <c r="O69" s="28">
        <f t="shared" si="3"/>
        <v>0</v>
      </c>
      <c r="P69" s="48"/>
      <c r="Q69" s="80"/>
      <c r="R69" s="80"/>
      <c r="S69" s="5"/>
      <c r="T69" s="5"/>
      <c r="U69" s="5"/>
      <c r="V69" s="5"/>
      <c r="W69" s="5"/>
      <c r="X69" s="2"/>
      <c r="Y69" s="9"/>
    </row>
    <row r="70">
      <c r="A70" s="2"/>
      <c r="B70" s="2">
        <v>5.0</v>
      </c>
      <c r="C70" s="81"/>
      <c r="D70" s="2"/>
      <c r="E70" s="48"/>
      <c r="F70" s="2"/>
      <c r="G70" s="2"/>
      <c r="H70" s="2"/>
      <c r="I70" s="2"/>
      <c r="J70" s="2"/>
      <c r="K70" s="5"/>
      <c r="L70" s="5"/>
      <c r="M70" s="28">
        <f t="shared" si="1"/>
        <v>0</v>
      </c>
      <c r="N70" s="28">
        <f t="shared" si="2"/>
        <v>0</v>
      </c>
      <c r="O70" s="28">
        <f t="shared" si="3"/>
        <v>0</v>
      </c>
      <c r="P70" s="48"/>
      <c r="Q70" s="80"/>
      <c r="R70" s="80"/>
      <c r="S70" s="5"/>
      <c r="T70" s="5"/>
      <c r="U70" s="5"/>
      <c r="V70" s="5"/>
      <c r="W70" s="5"/>
      <c r="X70" s="2"/>
      <c r="Y70" s="9"/>
    </row>
    <row r="71">
      <c r="A71" s="2"/>
      <c r="B71" s="2">
        <v>6.0</v>
      </c>
      <c r="C71" s="81"/>
      <c r="D71" s="2"/>
      <c r="E71" s="48"/>
      <c r="F71" s="2"/>
      <c r="G71" s="2"/>
      <c r="H71" s="2"/>
      <c r="I71" s="2"/>
      <c r="J71" s="2"/>
      <c r="K71" s="5"/>
      <c r="L71" s="5"/>
      <c r="M71" s="28">
        <f t="shared" si="1"/>
        <v>0</v>
      </c>
      <c r="N71" s="28">
        <f t="shared" si="2"/>
        <v>0</v>
      </c>
      <c r="O71" s="28">
        <f t="shared" si="3"/>
        <v>0</v>
      </c>
      <c r="P71" s="48"/>
      <c r="Q71" s="80"/>
      <c r="R71" s="80"/>
      <c r="S71" s="5"/>
      <c r="T71" s="5"/>
      <c r="U71" s="5"/>
      <c r="V71" s="5"/>
      <c r="W71" s="5"/>
      <c r="X71" s="2"/>
      <c r="Y71" s="9"/>
    </row>
    <row r="72">
      <c r="A72" s="2"/>
      <c r="B72" s="2">
        <v>7.0</v>
      </c>
      <c r="C72" s="81"/>
      <c r="D72" s="2"/>
      <c r="E72" s="48"/>
      <c r="F72" s="2"/>
      <c r="G72" s="2"/>
      <c r="H72" s="2"/>
      <c r="I72" s="2"/>
      <c r="J72" s="2"/>
      <c r="K72" s="5"/>
      <c r="L72" s="5"/>
      <c r="M72" s="28">
        <f t="shared" si="1"/>
        <v>0</v>
      </c>
      <c r="N72" s="28">
        <f t="shared" si="2"/>
        <v>0</v>
      </c>
      <c r="O72" s="28">
        <f t="shared" si="3"/>
        <v>0</v>
      </c>
      <c r="P72" s="48"/>
      <c r="Q72" s="80"/>
      <c r="R72" s="80"/>
      <c r="S72" s="5"/>
      <c r="T72" s="5"/>
      <c r="U72" s="5"/>
      <c r="V72" s="5"/>
      <c r="W72" s="5"/>
      <c r="X72" s="2"/>
      <c r="Y72" s="9"/>
    </row>
    <row r="73">
      <c r="A73" s="2"/>
      <c r="B73" s="2">
        <v>8.0</v>
      </c>
      <c r="C73" s="81"/>
      <c r="D73" s="2"/>
      <c r="E73" s="48"/>
      <c r="F73" s="2"/>
      <c r="G73" s="2"/>
      <c r="H73" s="2"/>
      <c r="I73" s="2"/>
      <c r="J73" s="2"/>
      <c r="K73" s="5"/>
      <c r="L73" s="5"/>
      <c r="M73" s="28">
        <f t="shared" si="1"/>
        <v>0</v>
      </c>
      <c r="N73" s="28">
        <f t="shared" si="2"/>
        <v>0</v>
      </c>
      <c r="O73" s="28">
        <f t="shared" si="3"/>
        <v>0</v>
      </c>
      <c r="P73" s="48"/>
      <c r="Q73" s="80"/>
      <c r="R73" s="80"/>
      <c r="S73" s="5"/>
      <c r="T73" s="5"/>
      <c r="U73" s="5"/>
      <c r="V73" s="5"/>
      <c r="W73" s="5"/>
      <c r="X73" s="2"/>
      <c r="Y73" s="9"/>
    </row>
    <row r="74">
      <c r="A74" s="2"/>
      <c r="B74" s="2">
        <v>9.0</v>
      </c>
      <c r="C74" s="81"/>
      <c r="D74" s="2"/>
      <c r="E74" s="48"/>
      <c r="F74" s="2"/>
      <c r="G74" s="2"/>
      <c r="H74" s="2"/>
      <c r="I74" s="2"/>
      <c r="J74" s="2"/>
      <c r="K74" s="5"/>
      <c r="L74" s="5"/>
      <c r="M74" s="28">
        <f t="shared" si="1"/>
        <v>0</v>
      </c>
      <c r="N74" s="28">
        <f t="shared" si="2"/>
        <v>0</v>
      </c>
      <c r="O74" s="28">
        <f t="shared" si="3"/>
        <v>0</v>
      </c>
      <c r="P74" s="48"/>
      <c r="Q74" s="80"/>
      <c r="R74" s="80"/>
      <c r="S74" s="5"/>
      <c r="T74" s="5"/>
      <c r="U74" s="5"/>
      <c r="V74" s="5"/>
      <c r="W74" s="5"/>
      <c r="X74" s="2"/>
      <c r="Y74" s="9"/>
    </row>
    <row r="75">
      <c r="A75" s="2"/>
      <c r="B75" s="2">
        <v>1.0</v>
      </c>
      <c r="C75" s="81"/>
      <c r="D75" s="2"/>
      <c r="E75" s="48"/>
      <c r="F75" s="2"/>
      <c r="G75" s="2"/>
      <c r="H75" s="2"/>
      <c r="I75" s="2"/>
      <c r="J75" s="2"/>
      <c r="K75" s="5"/>
      <c r="L75" s="5"/>
      <c r="M75" s="28">
        <f t="shared" si="1"/>
        <v>0</v>
      </c>
      <c r="N75" s="28">
        <f t="shared" si="2"/>
        <v>0</v>
      </c>
      <c r="O75" s="28">
        <f t="shared" si="3"/>
        <v>0</v>
      </c>
      <c r="P75" s="48"/>
      <c r="Q75" s="80"/>
      <c r="R75" s="80"/>
      <c r="S75" s="5"/>
      <c r="T75" s="5"/>
      <c r="U75" s="5"/>
      <c r="V75" s="5"/>
      <c r="W75" s="5"/>
      <c r="X75" s="2"/>
      <c r="Y75" s="9"/>
    </row>
    <row r="76">
      <c r="A76" s="2"/>
      <c r="B76" s="2">
        <v>2.0</v>
      </c>
      <c r="C76" s="81"/>
      <c r="D76" s="2"/>
      <c r="E76" s="48"/>
      <c r="F76" s="2"/>
      <c r="G76" s="2"/>
      <c r="H76" s="2"/>
      <c r="I76" s="2"/>
      <c r="J76" s="2"/>
      <c r="K76" s="5"/>
      <c r="L76" s="5"/>
      <c r="M76" s="28">
        <f t="shared" si="1"/>
        <v>0</v>
      </c>
      <c r="N76" s="28">
        <f t="shared" si="2"/>
        <v>0</v>
      </c>
      <c r="O76" s="28">
        <f t="shared" si="3"/>
        <v>0</v>
      </c>
      <c r="P76" s="48"/>
      <c r="Q76" s="80"/>
      <c r="R76" s="80"/>
      <c r="S76" s="5"/>
      <c r="T76" s="5"/>
      <c r="U76" s="5"/>
      <c r="V76" s="5"/>
      <c r="W76" s="5"/>
      <c r="X76" s="2"/>
      <c r="Y76" s="9"/>
    </row>
    <row r="77">
      <c r="A77" s="2"/>
      <c r="B77" s="2">
        <v>3.0</v>
      </c>
      <c r="C77" s="81"/>
      <c r="D77" s="2"/>
      <c r="E77" s="48"/>
      <c r="F77" s="2"/>
      <c r="G77" s="2"/>
      <c r="H77" s="2"/>
      <c r="I77" s="2"/>
      <c r="J77" s="2"/>
      <c r="K77" s="5"/>
      <c r="L77" s="5"/>
      <c r="M77" s="28">
        <f t="shared" si="1"/>
        <v>0</v>
      </c>
      <c r="N77" s="28">
        <f t="shared" si="2"/>
        <v>0</v>
      </c>
      <c r="O77" s="28">
        <f t="shared" si="3"/>
        <v>0</v>
      </c>
      <c r="P77" s="48"/>
      <c r="Q77" s="80"/>
      <c r="R77" s="80"/>
      <c r="S77" s="5"/>
      <c r="T77" s="5"/>
      <c r="U77" s="5"/>
      <c r="V77" s="5"/>
      <c r="W77" s="5"/>
      <c r="X77" s="2"/>
      <c r="Y77" s="9"/>
    </row>
    <row r="78">
      <c r="A78" s="2"/>
      <c r="B78" s="2">
        <v>4.0</v>
      </c>
      <c r="C78" s="81"/>
      <c r="D78" s="2"/>
      <c r="E78" s="48"/>
      <c r="F78" s="2"/>
      <c r="G78" s="2"/>
      <c r="H78" s="2"/>
      <c r="I78" s="2"/>
      <c r="J78" s="2"/>
      <c r="K78" s="5"/>
      <c r="L78" s="5"/>
      <c r="M78" s="28">
        <f t="shared" si="1"/>
        <v>0</v>
      </c>
      <c r="N78" s="28">
        <f t="shared" si="2"/>
        <v>0</v>
      </c>
      <c r="O78" s="28">
        <f t="shared" si="3"/>
        <v>0</v>
      </c>
      <c r="P78" s="48"/>
      <c r="Q78" s="80"/>
      <c r="R78" s="80"/>
      <c r="S78" s="5"/>
      <c r="T78" s="5"/>
      <c r="U78" s="5"/>
      <c r="V78" s="5"/>
      <c r="W78" s="5"/>
      <c r="X78" s="2"/>
      <c r="Y78" s="9"/>
    </row>
    <row r="79">
      <c r="A79" s="2"/>
      <c r="B79" s="2">
        <v>5.0</v>
      </c>
      <c r="C79" s="81"/>
      <c r="D79" s="2"/>
      <c r="E79" s="48"/>
      <c r="F79" s="2"/>
      <c r="G79" s="2"/>
      <c r="H79" s="2"/>
      <c r="I79" s="2"/>
      <c r="J79" s="2"/>
      <c r="K79" s="5"/>
      <c r="L79" s="5"/>
      <c r="M79" s="28">
        <f t="shared" si="1"/>
        <v>0</v>
      </c>
      <c r="N79" s="28">
        <f t="shared" si="2"/>
        <v>0</v>
      </c>
      <c r="O79" s="28">
        <f t="shared" si="3"/>
        <v>0</v>
      </c>
      <c r="P79" s="48"/>
      <c r="Q79" s="80"/>
      <c r="R79" s="80"/>
      <c r="S79" s="5"/>
      <c r="T79" s="5"/>
      <c r="U79" s="5"/>
      <c r="V79" s="5"/>
      <c r="W79" s="5"/>
      <c r="X79" s="2"/>
      <c r="Y79" s="9"/>
    </row>
    <row r="80">
      <c r="A80" s="2"/>
      <c r="B80" s="2">
        <v>6.0</v>
      </c>
      <c r="C80" s="81"/>
      <c r="D80" s="2"/>
      <c r="E80" s="48"/>
      <c r="F80" s="2"/>
      <c r="G80" s="2"/>
      <c r="H80" s="2"/>
      <c r="I80" s="2"/>
      <c r="J80" s="2"/>
      <c r="K80" s="5"/>
      <c r="L80" s="5"/>
      <c r="M80" s="28">
        <f t="shared" si="1"/>
        <v>0</v>
      </c>
      <c r="N80" s="28">
        <f t="shared" si="2"/>
        <v>0</v>
      </c>
      <c r="O80" s="28">
        <f t="shared" si="3"/>
        <v>0</v>
      </c>
      <c r="P80" s="48"/>
      <c r="Q80" s="80"/>
      <c r="R80" s="80"/>
      <c r="S80" s="5"/>
      <c r="T80" s="5"/>
      <c r="U80" s="5"/>
      <c r="V80" s="5"/>
      <c r="W80" s="5"/>
      <c r="X80" s="2"/>
      <c r="Y80" s="9"/>
    </row>
    <row r="81">
      <c r="A81" s="2"/>
      <c r="B81" s="2">
        <v>7.0</v>
      </c>
      <c r="C81" s="81"/>
      <c r="D81" s="2"/>
      <c r="E81" s="48"/>
      <c r="F81" s="2"/>
      <c r="G81" s="2"/>
      <c r="H81" s="2"/>
      <c r="I81" s="2"/>
      <c r="J81" s="2"/>
      <c r="K81" s="5"/>
      <c r="L81" s="5"/>
      <c r="M81" s="28">
        <f t="shared" si="1"/>
        <v>0</v>
      </c>
      <c r="N81" s="28">
        <f t="shared" si="2"/>
        <v>0</v>
      </c>
      <c r="O81" s="28">
        <f t="shared" si="3"/>
        <v>0</v>
      </c>
      <c r="P81" s="48"/>
      <c r="Q81" s="80"/>
      <c r="R81" s="80"/>
      <c r="S81" s="5"/>
      <c r="T81" s="5"/>
      <c r="U81" s="5"/>
      <c r="V81" s="5"/>
      <c r="W81" s="5"/>
      <c r="X81" s="2"/>
      <c r="Y81" s="9"/>
    </row>
    <row r="82">
      <c r="A82" s="2"/>
      <c r="B82" s="2">
        <v>8.0</v>
      </c>
      <c r="C82" s="81"/>
      <c r="D82" s="2"/>
      <c r="E82" s="48"/>
      <c r="F82" s="2"/>
      <c r="G82" s="2"/>
      <c r="H82" s="2"/>
      <c r="I82" s="2"/>
      <c r="J82" s="2"/>
      <c r="K82" s="5"/>
      <c r="L82" s="5"/>
      <c r="M82" s="28">
        <f t="shared" si="1"/>
        <v>0</v>
      </c>
      <c r="N82" s="28">
        <f t="shared" si="2"/>
        <v>0</v>
      </c>
      <c r="O82" s="28">
        <f t="shared" si="3"/>
        <v>0</v>
      </c>
      <c r="P82" s="48"/>
      <c r="Q82" s="80"/>
      <c r="R82" s="80"/>
      <c r="S82" s="5"/>
      <c r="T82" s="5"/>
      <c r="U82" s="5"/>
      <c r="V82" s="5"/>
      <c r="W82" s="5"/>
      <c r="X82" s="2"/>
      <c r="Y82" s="9"/>
    </row>
    <row r="83">
      <c r="A83" s="2"/>
      <c r="B83" s="2">
        <v>9.0</v>
      </c>
      <c r="C83" s="81"/>
      <c r="D83" s="2"/>
      <c r="E83" s="48"/>
      <c r="F83" s="2"/>
      <c r="G83" s="2"/>
      <c r="H83" s="2"/>
      <c r="I83" s="2"/>
      <c r="J83" s="2"/>
      <c r="K83" s="5"/>
      <c r="L83" s="5"/>
      <c r="M83" s="28">
        <f t="shared" si="1"/>
        <v>0</v>
      </c>
      <c r="N83" s="28">
        <f t="shared" si="2"/>
        <v>0</v>
      </c>
      <c r="O83" s="28">
        <f t="shared" si="3"/>
        <v>0</v>
      </c>
      <c r="P83" s="48"/>
      <c r="Q83" s="80"/>
      <c r="R83" s="80"/>
      <c r="S83" s="5"/>
      <c r="T83" s="5"/>
      <c r="U83" s="5"/>
      <c r="V83" s="5"/>
      <c r="W83" s="5"/>
      <c r="X83" s="2"/>
      <c r="Y83" s="9"/>
    </row>
  </sheetData>
  <mergeCells count="2">
    <mergeCell ref="D1:L1"/>
    <mergeCell ref="Q1:R1"/>
  </mergeCells>
  <conditionalFormatting sqref="P3:P83">
    <cfRule type="containsText" dxfId="1" priority="1" operator="containsText" text="野選">
      <formula>NOT(ISERROR(SEARCH(("野選"),(P3))))</formula>
    </cfRule>
  </conditionalFormatting>
  <conditionalFormatting sqref="P3:P83">
    <cfRule type="containsText" dxfId="0" priority="2" operator="containsText" text="安">
      <formula>NOT(ISERROR(SEARCH(("安"),(P3))))</formula>
    </cfRule>
  </conditionalFormatting>
  <conditionalFormatting sqref="P3:P83">
    <cfRule type="containsText" dxfId="1" priority="3" operator="containsText" text="滾">
      <formula>NOT(ISERROR(SEARCH(("滾"),(P3))))</formula>
    </cfRule>
  </conditionalFormatting>
  <conditionalFormatting sqref="P3:P83">
    <cfRule type="containsText" dxfId="1" priority="4" operator="containsText" text="飛">
      <formula>NOT(ISERROR(SEARCH(("飛"),(P3))))</formula>
    </cfRule>
  </conditionalFormatting>
  <conditionalFormatting sqref="P3:P83">
    <cfRule type="containsText" dxfId="1" priority="5" operator="containsText" text="三振">
      <formula>NOT(ISERROR(SEARCH(("三振"),(P3))))</formula>
    </cfRule>
  </conditionalFormatting>
  <conditionalFormatting sqref="P3:P83">
    <cfRule type="containsText" dxfId="2" priority="6" operator="containsText" text="觸身">
      <formula>NOT(ISERROR(SEARCH(("觸身"),(P3))))</formula>
    </cfRule>
  </conditionalFormatting>
  <conditionalFormatting sqref="P3:P83">
    <cfRule type="containsText" dxfId="2" priority="7" operator="containsText" text="保送">
      <formula>NOT(ISERROR(SEARCH(("保送"),(P3))))</formula>
    </cfRule>
  </conditionalFormatting>
  <conditionalFormatting sqref="P3:P83">
    <cfRule type="containsText" dxfId="2" priority="8" operator="containsText" text="失誤">
      <formula>NOT(ISERROR(SEARCH(("失誤"),(P3))))</formula>
    </cfRule>
  </conditionalFormatting>
  <conditionalFormatting sqref="P3:P83">
    <cfRule type="containsText" dxfId="0" priority="9" operator="containsText" text="全壘打">
      <formula>NOT(ISERROR(SEARCH(("全壘打"),(P3))))</formula>
    </cfRule>
  </conditionalFormatting>
  <conditionalFormatting sqref="P3:P83">
    <cfRule type="containsText" dxfId="1" priority="10" operator="containsText" text="犧牲">
      <formula>NOT(ISERROR(SEARCH(("犧牲"),(P3))))</formula>
    </cfRule>
  </conditionalFormatting>
  <conditionalFormatting sqref="P3:P83">
    <cfRule type="containsText" dxfId="1" priority="11" operator="containsText" text="雙殺">
      <formula>NOT(ISERROR(SEARCH(("雙殺"),(P3))))</formula>
    </cfRule>
  </conditionalFormatting>
  <dataValidations>
    <dataValidation type="list" allowBlank="1" sqref="P3:P83">
      <formula1>"一安,二安,三安,全壘打,內飛,內滾,外飛,三振,雙殺,野選,犧牲,失誤,保送,觸身"</formula1>
    </dataValidation>
    <dataValidation type="list" allowBlank="1" sqref="D3:L83">
      <formula1>"SS,CS,B,F,IP"</formula1>
    </dataValidation>
    <dataValidation type="list" allowBlank="1" sqref="C3:C83">
      <formula1>'當日比賽統計'!$D$25:$D$31</formula1>
    </dataValidation>
    <dataValidation type="list" allowBlank="1" sqref="A3:A83">
      <formula1>"I,II,III,R,ER,L"</formula1>
    </dataValidation>
    <dataValidation type="list" allowBlank="1" sqref="S3:S83">
      <formula1>"強,中,弱"</formula1>
    </dataValidation>
    <dataValidation type="list" allowBlank="1" sqref="T3:T83">
      <formula1>"1,2,3,E,2E,3E"</formula1>
    </dataValidation>
    <dataValidation type="list" allowBlank="1" sqref="Q3:Q83">
      <formula1>"1投手,2捕手,3一壘,4二壘,5三壘,6游擊,7左外,8中外,9右外"</formula1>
    </dataValidation>
    <dataValidation type="list" allowBlank="1" sqref="U3:U83">
      <formula1>"1,2,3"</formula1>
    </dataValidation>
    <dataValidation type="list" allowBlank="1" sqref="V3:W83">
      <formula1>"1"</formula1>
    </dataValidation>
    <dataValidation type="list" allowBlank="1" sqref="R3:R83">
      <formula1>"G,L,F"</formula1>
    </dataValidation>
    <dataValidation type="list" allowBlank="1" sqref="X3:X83">
      <formula1>"1,2,3,4"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3" max="3" width="6.88"/>
    <col customWidth="1" min="5" max="5" width="6.88"/>
    <col customWidth="1" min="7" max="7" width="6.88"/>
    <col customWidth="1" min="9" max="9" width="6.88"/>
    <col customWidth="1" min="10" max="10" width="17.5"/>
  </cols>
  <sheetData>
    <row r="1">
      <c r="A1" s="4" t="s">
        <v>0</v>
      </c>
      <c r="B1" s="9" t="s">
        <v>3</v>
      </c>
    </row>
    <row r="2">
      <c r="A2" s="11" t="s">
        <v>5</v>
      </c>
      <c r="B2" s="13"/>
      <c r="C2" s="13"/>
      <c r="D2" s="13"/>
      <c r="E2" s="13"/>
      <c r="F2" s="13"/>
      <c r="G2" s="13"/>
      <c r="H2" s="13"/>
      <c r="I2" s="13"/>
      <c r="J2" s="14"/>
    </row>
    <row r="3">
      <c r="A3" s="2" t="s">
        <v>18</v>
      </c>
      <c r="B3" s="16" t="s">
        <v>19</v>
      </c>
      <c r="C3" s="2" t="s">
        <v>22</v>
      </c>
      <c r="D3" s="16" t="s">
        <v>24</v>
      </c>
      <c r="E3" s="2" t="s">
        <v>26</v>
      </c>
      <c r="F3" s="16" t="s">
        <v>27</v>
      </c>
      <c r="G3" s="2" t="s">
        <v>23</v>
      </c>
      <c r="H3" s="16" t="s">
        <v>28</v>
      </c>
      <c r="I3" s="2" t="s">
        <v>25</v>
      </c>
      <c r="J3" s="16" t="s">
        <v>29</v>
      </c>
    </row>
    <row r="4">
      <c r="A4" s="11" t="s">
        <v>9</v>
      </c>
      <c r="B4" s="13"/>
      <c r="C4" s="13"/>
      <c r="D4" s="13"/>
      <c r="E4" s="13"/>
      <c r="F4" s="13"/>
      <c r="G4" s="13"/>
      <c r="H4" s="13"/>
      <c r="I4" s="13"/>
      <c r="J4" s="14"/>
    </row>
    <row r="5">
      <c r="A5" s="22" t="s">
        <v>32</v>
      </c>
      <c r="B5" s="2" t="s">
        <v>34</v>
      </c>
      <c r="C5" s="22" t="s">
        <v>35</v>
      </c>
      <c r="D5" s="2" t="s">
        <v>36</v>
      </c>
      <c r="E5" s="22" t="s">
        <v>37</v>
      </c>
      <c r="F5" s="2" t="s">
        <v>36</v>
      </c>
      <c r="G5" s="24" t="s">
        <v>38</v>
      </c>
      <c r="H5" s="2" t="s">
        <v>39</v>
      </c>
      <c r="I5" s="26" t="s">
        <v>40</v>
      </c>
      <c r="J5" s="16" t="s">
        <v>41</v>
      </c>
    </row>
    <row r="6">
      <c r="A6" s="27" t="s">
        <v>42</v>
      </c>
      <c r="B6" s="2" t="s">
        <v>43</v>
      </c>
      <c r="C6" s="28" t="s">
        <v>44</v>
      </c>
      <c r="D6" s="2" t="s">
        <v>34</v>
      </c>
      <c r="E6" s="28" t="s">
        <v>45</v>
      </c>
      <c r="F6" s="2" t="s">
        <v>34</v>
      </c>
      <c r="G6" s="28" t="s">
        <v>46</v>
      </c>
      <c r="H6" s="16" t="s">
        <v>48</v>
      </c>
      <c r="I6" s="30"/>
      <c r="J6" s="30"/>
    </row>
    <row r="7">
      <c r="A7" s="32" t="s">
        <v>50</v>
      </c>
      <c r="B7" s="2" t="s">
        <v>52</v>
      </c>
      <c r="C7" s="33" t="s">
        <v>53</v>
      </c>
      <c r="D7" s="2" t="s">
        <v>34</v>
      </c>
      <c r="E7" s="35" t="s">
        <v>55</v>
      </c>
      <c r="F7" s="30"/>
      <c r="G7" s="30"/>
      <c r="H7" s="30"/>
      <c r="I7" s="30"/>
      <c r="J7" s="30"/>
    </row>
    <row r="8">
      <c r="A8" s="4" t="s">
        <v>56</v>
      </c>
      <c r="B8" s="9" t="s">
        <v>57</v>
      </c>
    </row>
    <row r="9">
      <c r="A9" s="4" t="s">
        <v>11</v>
      </c>
      <c r="B9" s="9" t="s">
        <v>59</v>
      </c>
    </row>
    <row r="10">
      <c r="A10" s="4" t="s">
        <v>12</v>
      </c>
      <c r="B10" s="9" t="s">
        <v>60</v>
      </c>
    </row>
    <row r="11">
      <c r="A11" s="4" t="s">
        <v>13</v>
      </c>
      <c r="B11" s="9" t="s">
        <v>61</v>
      </c>
      <c r="E11" s="9"/>
      <c r="F11" s="9"/>
      <c r="G11" s="9"/>
      <c r="H11" s="9"/>
      <c r="I11" s="9"/>
      <c r="J11" s="9"/>
    </row>
    <row r="12">
      <c r="A12" s="4" t="s">
        <v>14</v>
      </c>
      <c r="B12" s="9" t="s">
        <v>62</v>
      </c>
    </row>
    <row r="13">
      <c r="A13" s="4" t="s">
        <v>15</v>
      </c>
      <c r="B13" s="9" t="s">
        <v>63</v>
      </c>
    </row>
    <row r="14">
      <c r="A14" s="4" t="s">
        <v>16</v>
      </c>
      <c r="B14" s="9" t="s">
        <v>65</v>
      </c>
    </row>
    <row r="15">
      <c r="A15" s="4" t="s">
        <v>17</v>
      </c>
      <c r="B15" s="9" t="s">
        <v>66</v>
      </c>
    </row>
    <row r="16">
      <c r="A16" s="30"/>
      <c r="B16" s="41"/>
      <c r="C16" s="30"/>
      <c r="D16" s="30"/>
      <c r="E16" s="30"/>
      <c r="F16" s="30"/>
      <c r="G16" s="30"/>
      <c r="H16" s="30"/>
      <c r="I16" s="30"/>
      <c r="J16" s="30"/>
    </row>
    <row r="17">
      <c r="A17" s="30"/>
      <c r="B17" s="41"/>
      <c r="C17" s="30"/>
      <c r="D17" s="30"/>
      <c r="E17" s="30"/>
      <c r="F17" s="30"/>
      <c r="G17" s="30"/>
      <c r="H17" s="30"/>
      <c r="I17" s="30"/>
      <c r="J17" s="30"/>
    </row>
    <row r="18">
      <c r="A18" s="30"/>
      <c r="B18" s="41"/>
      <c r="C18" s="30"/>
      <c r="D18" s="30"/>
      <c r="E18" s="30"/>
      <c r="F18" s="30"/>
      <c r="G18" s="30"/>
      <c r="H18" s="30"/>
      <c r="I18" s="30"/>
      <c r="J18" s="30"/>
    </row>
    <row r="19">
      <c r="A19" s="30"/>
      <c r="B19" s="41"/>
      <c r="C19" s="30"/>
      <c r="D19" s="30"/>
      <c r="E19" s="30"/>
      <c r="F19" s="30"/>
      <c r="G19" s="30"/>
      <c r="H19" s="30"/>
      <c r="I19" s="30"/>
      <c r="J19" s="30"/>
    </row>
    <row r="20">
      <c r="A20" s="30"/>
      <c r="B20" s="41"/>
      <c r="C20" s="30"/>
      <c r="D20" s="30"/>
      <c r="E20" s="30"/>
      <c r="F20" s="30"/>
      <c r="G20" s="30"/>
      <c r="H20" s="30"/>
      <c r="I20" s="30"/>
      <c r="J20" s="30"/>
    </row>
    <row r="21">
      <c r="A21" s="30"/>
      <c r="B21" s="41"/>
      <c r="C21" s="30"/>
      <c r="D21" s="30"/>
      <c r="E21" s="30"/>
      <c r="F21" s="30"/>
      <c r="G21" s="30"/>
      <c r="H21" s="30"/>
      <c r="I21" s="30"/>
      <c r="J21" s="30"/>
    </row>
    <row r="22">
      <c r="A22" s="44"/>
      <c r="B22" s="45"/>
      <c r="C22" s="44"/>
      <c r="D22" s="44"/>
      <c r="E22" s="44"/>
      <c r="F22" s="44"/>
      <c r="G22" s="44"/>
      <c r="H22" s="44"/>
      <c r="I22" s="44"/>
      <c r="J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</row>
  </sheetData>
  <mergeCells count="11">
    <mergeCell ref="B12:J12"/>
    <mergeCell ref="B13:J13"/>
    <mergeCell ref="B14:J14"/>
    <mergeCell ref="B15:J15"/>
    <mergeCell ref="B1:J1"/>
    <mergeCell ref="A2:J2"/>
    <mergeCell ref="A4:J4"/>
    <mergeCell ref="B8:J8"/>
    <mergeCell ref="B9:J9"/>
    <mergeCell ref="B10:J10"/>
    <mergeCell ref="B11:D11"/>
  </mergeCells>
  <drawing r:id="rId1"/>
</worksheet>
</file>